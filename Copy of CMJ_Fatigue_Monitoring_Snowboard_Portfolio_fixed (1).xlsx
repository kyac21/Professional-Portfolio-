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kyac/Desktop/US ski and Snowboard /"/>
    </mc:Choice>
  </mc:AlternateContent>
  <xr:revisionPtr revIDLastSave="0" documentId="8_{A20B49D0-5904-1148-BB18-BEE2A4A479D8}" xr6:coauthVersionLast="47" xr6:coauthVersionMax="47" xr10:uidLastSave="{00000000-0000-0000-0000-000000000000}"/>
  <bookViews>
    <workbookView xWindow="0" yWindow="500" windowWidth="28800" windowHeight="16440" firstSheet="1" activeTab="5" xr2:uid="{00000000-000D-0000-FFFF-FFFF00000000}"/>
  </bookViews>
  <sheets>
    <sheet name="Daily Data Entry" sheetId="1" r:id="rId1"/>
    <sheet name="Z SCORE " sheetId="2" r:id="rId2"/>
    <sheet name="Daily Change " sheetId="3" r:id="rId3"/>
    <sheet name="Raw" sheetId="4" r:id="rId4"/>
    <sheet name="Baseline &amp; Fatigue Flags (2)" sheetId="5" r:id="rId5"/>
    <sheet name="Dashboard " sheetId="6" r:id="rId6"/>
  </sheets>
  <definedNames>
    <definedName name="_xlnm.Print_Area" localSheetId="5">'Dashboard '!$A$1:$H$44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" i="6" l="1"/>
  <c r="N4" i="6"/>
  <c r="M4" i="6"/>
  <c r="L4" i="6"/>
  <c r="K4" i="6"/>
  <c r="J4" i="6"/>
  <c r="O3" i="6"/>
  <c r="K3" i="6"/>
  <c r="O2" i="6"/>
  <c r="N2" i="6"/>
  <c r="M2" i="6"/>
  <c r="L2" i="6"/>
  <c r="K2" i="6"/>
  <c r="J2" i="6"/>
  <c r="H2" i="6" a="1"/>
  <c r="H2" i="6" s="1"/>
  <c r="G2" i="6" a="1"/>
  <c r="G2" i="6" s="1"/>
  <c r="N5" i="6" s="1"/>
  <c r="F2" i="6" a="1"/>
  <c r="F2" i="6" s="1"/>
  <c r="E2" i="6" a="1"/>
  <c r="E2" i="6" s="1"/>
  <c r="L6" i="6" s="1"/>
  <c r="E14" i="6" s="1"/>
  <c r="D2" i="6" a="1"/>
  <c r="D2" i="6" s="1"/>
  <c r="C2" i="6" a="1"/>
  <c r="C2" i="6" s="1"/>
  <c r="J5" i="6" s="1"/>
  <c r="F7" i="5"/>
  <c r="E7" i="5"/>
  <c r="F6" i="5"/>
  <c r="E6" i="5"/>
  <c r="N3" i="6" s="1"/>
  <c r="F5" i="5"/>
  <c r="E5" i="5"/>
  <c r="M3" i="6" s="1"/>
  <c r="F4" i="5"/>
  <c r="E4" i="5"/>
  <c r="L3" i="6" s="1"/>
  <c r="F3" i="5"/>
  <c r="E3" i="5"/>
  <c r="F2" i="5"/>
  <c r="E2" i="5"/>
  <c r="J3" i="6" s="1"/>
  <c r="O4" i="4"/>
  <c r="M4" i="4"/>
  <c r="K4" i="4"/>
  <c r="H4" i="4"/>
  <c r="F4" i="4"/>
  <c r="C4" i="4"/>
  <c r="O2" i="4"/>
  <c r="M2" i="4"/>
  <c r="K2" i="4"/>
  <c r="H2" i="4"/>
  <c r="F2" i="4"/>
  <c r="C2" i="4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  <c r="G21" i="2"/>
  <c r="F21" i="2"/>
  <c r="E21" i="2"/>
  <c r="D21" i="2"/>
  <c r="C21" i="2"/>
  <c r="B21" i="2"/>
  <c r="H21" i="2" s="1"/>
  <c r="G20" i="2"/>
  <c r="F20" i="2"/>
  <c r="E20" i="2"/>
  <c r="D20" i="2"/>
  <c r="C20" i="2"/>
  <c r="B20" i="2"/>
  <c r="H20" i="2" s="1"/>
  <c r="G19" i="2"/>
  <c r="F19" i="2"/>
  <c r="E19" i="2"/>
  <c r="D19" i="2"/>
  <c r="C19" i="2"/>
  <c r="H19" i="2" s="1"/>
  <c r="B19" i="2"/>
  <c r="G18" i="2"/>
  <c r="F18" i="2"/>
  <c r="E18" i="2"/>
  <c r="D18" i="2"/>
  <c r="H18" i="2" s="1"/>
  <c r="C18" i="2"/>
  <c r="B18" i="2"/>
  <c r="G17" i="2"/>
  <c r="F17" i="2"/>
  <c r="E17" i="2"/>
  <c r="D17" i="2"/>
  <c r="C17" i="2"/>
  <c r="B17" i="2"/>
  <c r="H17" i="2" s="1"/>
  <c r="G16" i="2"/>
  <c r="F16" i="2"/>
  <c r="E16" i="2"/>
  <c r="D16" i="2"/>
  <c r="C16" i="2"/>
  <c r="B16" i="2"/>
  <c r="H16" i="2" s="1"/>
  <c r="G15" i="2"/>
  <c r="F15" i="2"/>
  <c r="E15" i="2"/>
  <c r="D15" i="2"/>
  <c r="C15" i="2"/>
  <c r="H15" i="2" s="1"/>
  <c r="B15" i="2"/>
  <c r="G14" i="2"/>
  <c r="F14" i="2"/>
  <c r="E14" i="2"/>
  <c r="D14" i="2"/>
  <c r="H14" i="2" s="1"/>
  <c r="C14" i="2"/>
  <c r="B14" i="2"/>
  <c r="G13" i="2"/>
  <c r="F13" i="2"/>
  <c r="E13" i="2"/>
  <c r="D13" i="2"/>
  <c r="C13" i="2"/>
  <c r="B13" i="2"/>
  <c r="H13" i="2" s="1"/>
  <c r="G12" i="2"/>
  <c r="F12" i="2"/>
  <c r="E12" i="2"/>
  <c r="D12" i="2"/>
  <c r="C12" i="2"/>
  <c r="B12" i="2"/>
  <c r="H12" i="2" s="1"/>
  <c r="G11" i="2"/>
  <c r="F11" i="2"/>
  <c r="E11" i="2"/>
  <c r="D11" i="2"/>
  <c r="C11" i="2"/>
  <c r="H11" i="2" s="1"/>
  <c r="B11" i="2"/>
  <c r="G10" i="2"/>
  <c r="F10" i="2"/>
  <c r="E10" i="2"/>
  <c r="D10" i="2"/>
  <c r="C10" i="2"/>
  <c r="B10" i="2"/>
  <c r="H10" i="2" s="1"/>
  <c r="G9" i="2"/>
  <c r="F9" i="2"/>
  <c r="E9" i="2"/>
  <c r="D9" i="2"/>
  <c r="C9" i="2"/>
  <c r="B9" i="2"/>
  <c r="H9" i="2" s="1"/>
  <c r="G8" i="2"/>
  <c r="F8" i="2"/>
  <c r="E8" i="2"/>
  <c r="D8" i="2"/>
  <c r="C8" i="2"/>
  <c r="B8" i="2"/>
  <c r="H8" i="2" s="1"/>
  <c r="G7" i="2"/>
  <c r="F7" i="2"/>
  <c r="E7" i="2"/>
  <c r="D7" i="2"/>
  <c r="C7" i="2"/>
  <c r="H7" i="2" s="1"/>
  <c r="B7" i="2"/>
  <c r="G6" i="2"/>
  <c r="F6" i="2"/>
  <c r="E6" i="2"/>
  <c r="D6" i="2"/>
  <c r="H6" i="2" s="1"/>
  <c r="C6" i="2"/>
  <c r="B6" i="2"/>
  <c r="G5" i="2"/>
  <c r="F5" i="2"/>
  <c r="E5" i="2"/>
  <c r="D5" i="2"/>
  <c r="C5" i="2"/>
  <c r="B5" i="2"/>
  <c r="H5" i="2" s="1"/>
  <c r="G4" i="2"/>
  <c r="F4" i="2"/>
  <c r="E4" i="2"/>
  <c r="D4" i="2"/>
  <c r="C4" i="2"/>
  <c r="B4" i="2"/>
  <c r="H4" i="2" s="1"/>
  <c r="G3" i="2"/>
  <c r="F3" i="2"/>
  <c r="E3" i="2"/>
  <c r="D3" i="2"/>
  <c r="C3" i="2"/>
  <c r="H3" i="2" s="1"/>
  <c r="B3" i="2"/>
  <c r="G2" i="2"/>
  <c r="F2" i="2"/>
  <c r="E2" i="2"/>
  <c r="D2" i="2"/>
  <c r="H2" i="2" s="1"/>
  <c r="C2" i="2"/>
  <c r="B2" i="2"/>
  <c r="O6" i="6" l="1"/>
  <c r="H14" i="6" s="1"/>
  <c r="O5" i="6"/>
  <c r="H7" i="6" s="1"/>
  <c r="F7" i="6"/>
  <c r="M5" i="6"/>
  <c r="M6" i="6"/>
  <c r="F14" i="6" s="1"/>
  <c r="C7" i="6"/>
  <c r="G7" i="6"/>
  <c r="K6" i="6"/>
  <c r="D14" i="6" s="1"/>
  <c r="K5" i="6"/>
  <c r="D7" i="6"/>
  <c r="L5" i="6"/>
  <c r="E7" i="6" s="1"/>
  <c r="J6" i="6"/>
  <c r="N6" i="6"/>
  <c r="G14" i="6" s="1"/>
  <c r="C23" i="6" l="1"/>
  <c r="C14" i="6"/>
</calcChain>
</file>

<file path=xl/sharedStrings.xml><?xml version="1.0" encoding="utf-8"?>
<sst xmlns="http://schemas.openxmlformats.org/spreadsheetml/2006/main" count="108" uniqueCount="35">
  <si>
    <t>Athlete</t>
  </si>
  <si>
    <t>Date</t>
  </si>
  <si>
    <t>FT:CT</t>
  </si>
  <si>
    <t>Eccentric Duration (s)</t>
  </si>
  <si>
    <t xml:space="preserve">Countermovement Depth (cm) </t>
  </si>
  <si>
    <t>Relative Peak Power (W/Kg)</t>
  </si>
  <si>
    <t>Jump Height (cm)</t>
  </si>
  <si>
    <t xml:space="preserve">Force @ 0 Velcotiy </t>
  </si>
  <si>
    <t>Athlete 1</t>
  </si>
  <si>
    <t>Athlete 2</t>
  </si>
  <si>
    <t>Athlete 3</t>
  </si>
  <si>
    <t>Countermovement Depth (cm)</t>
  </si>
  <si>
    <t>Relative Peak Power (N/kg)</t>
  </si>
  <si>
    <t xml:space="preserve">Jump Height (cm) </t>
  </si>
  <si>
    <t xml:space="preserve">Force @ 0 Velocity </t>
  </si>
  <si>
    <t>Composite Z Score</t>
  </si>
  <si>
    <t xml:space="preserve">Countermovemnt Depth (cm) </t>
  </si>
  <si>
    <t>Metric</t>
  </si>
  <si>
    <t>Mean</t>
  </si>
  <si>
    <t>SD</t>
  </si>
  <si>
    <t>CV Threshold</t>
  </si>
  <si>
    <t>SWC Threshold</t>
  </si>
  <si>
    <t>Eccentric Duration (ms)</t>
  </si>
  <si>
    <t xml:space="preserve">Eccentric Duration </t>
  </si>
  <si>
    <t>Relative Peak Power</t>
  </si>
  <si>
    <t xml:space="preserve">Jump Height </t>
  </si>
  <si>
    <t>Helper</t>
  </si>
  <si>
    <t>Eccentric Duration</t>
  </si>
  <si>
    <t>Countermovement Depth</t>
  </si>
  <si>
    <t>Jump Height</t>
  </si>
  <si>
    <t>Force @ 0 Velocity</t>
  </si>
  <si>
    <t xml:space="preserve">Select Athlete: </t>
  </si>
  <si>
    <t xml:space="preserve">Select Date: </t>
  </si>
  <si>
    <t>Meaningful Change Flags</t>
  </si>
  <si>
    <t>Individual Z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</si>
</sst>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"/>
    <numFmt numFmtId="166" formatCode="0.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36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sz val="36"/>
      <color theme="1"/>
      <name val="Calibri (Body)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1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top"/>
    </xf>
    <xf numFmtId="166" fontId="0" fillId="0" borderId="0" xfId="0" applyNumberFormat="1"/>
    <xf numFmtId="2" fontId="2" fillId="0" borderId="0" xfId="0" applyNumberFormat="1" applyFo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/>
    <xf numFmtId="0" fontId="4" fillId="0" borderId="0" xfId="0" applyFont="1"/>
    <xf numFmtId="164" fontId="4" fillId="0" borderId="0" xfId="0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2" fontId="4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31" totalsRowShown="0">
  <autoFilter ref="A1:H31" xr:uid="{00000000-0009-0000-0100-000001000000}"/>
  <tableColumns count="8">
    <tableColumn id="1" xr3:uid="{00000000-0010-0000-0000-000001000000}" name="Athlete"/>
    <tableColumn id="2" xr3:uid="{00000000-0010-0000-0000-000002000000}" name="Date"/>
    <tableColumn id="3" xr3:uid="{00000000-0010-0000-0000-000003000000}" name="FT:CT"/>
    <tableColumn id="4" xr3:uid="{00000000-0010-0000-0000-000004000000}" name="Eccentric Duration (s)"/>
    <tableColumn id="5" xr3:uid="{00000000-0010-0000-0000-000005000000}" name="Countermovement Depth (cm) "/>
    <tableColumn id="6" xr3:uid="{00000000-0010-0000-0000-000006000000}" name="Relative Peak Power (W/Kg)"/>
    <tableColumn id="7" xr3:uid="{00000000-0010-0000-0000-000007000000}" name="Jump Height (cm)"/>
    <tableColumn id="8" xr3:uid="{00000000-0010-0000-0000-000008000000}" name="Force @ 0 Velcotiy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5" displayName="Table35" ref="A1:H21" totalsRowShown="0">
  <autoFilter ref="A1:H21" xr:uid="{00000000-0009-0000-0100-000003000000}"/>
  <tableColumns count="8">
    <tableColumn id="1" xr3:uid="{00000000-0010-0000-0100-000001000000}" name="Date"/>
    <tableColumn id="2" xr3:uid="{00000000-0010-0000-0100-000002000000}" name="FT:CT"/>
    <tableColumn id="3" xr3:uid="{00000000-0010-0000-0100-000003000000}" name="Eccentric Duration (s)"/>
    <tableColumn id="4" xr3:uid="{00000000-0010-0000-0100-000004000000}" name="Countermovement Depth (cm)"/>
    <tableColumn id="5" xr3:uid="{00000000-0010-0000-0100-000005000000}" name="Relative Peak Power (N/kg)"/>
    <tableColumn id="6" xr3:uid="{00000000-0010-0000-0100-000006000000}" name="Jump Height (cm) "/>
    <tableColumn id="7" xr3:uid="{00000000-0010-0000-0100-000007000000}" name="Force @ 0 Velocity "/>
    <tableColumn id="8" xr3:uid="{00000000-0010-0000-0100-000008000000}" name="Composite Z Scor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A1:G21" totalsRowShown="0">
  <autoFilter ref="A1:G21" xr:uid="{00000000-0009-0000-0100-000002000000}"/>
  <tableColumns count="7">
    <tableColumn id="1" xr3:uid="{00000000-0010-0000-0200-000001000000}" name="Date"/>
    <tableColumn id="2" xr3:uid="{00000000-0010-0000-0200-000002000000}" name="FT:CT"/>
    <tableColumn id="3" xr3:uid="{00000000-0010-0000-0200-000003000000}" name="Eccentric Duration (s)"/>
    <tableColumn id="4" xr3:uid="{00000000-0010-0000-0200-000004000000}" name="Countermovement Depth (cm)"/>
    <tableColumn id="5" xr3:uid="{00000000-0010-0000-0200-000005000000}" name="Relative Peak Power (N/kg)"/>
    <tableColumn id="6" xr3:uid="{00000000-0010-0000-0200-000006000000}" name="Jump Height (cm) "/>
    <tableColumn id="7" xr3:uid="{00000000-0010-0000-0200-000007000000}" name="Force @ 0 Velocity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rgbClr val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5000"/>
                <a:shade val="92000"/>
              </a:schemeClr>
            </a:gs>
            <a:gs pos="45000">
              <a:schemeClr val="phClr">
                <a:tint val="60000"/>
                <a:shade val="99000"/>
              </a:schemeClr>
            </a:gs>
            <a:gs pos="100000">
              <a:schemeClr val="phClr">
                <a:tint val="55000"/>
              </a:schemeClr>
            </a:gs>
          </a:gsLst>
          <a:path path="circle">
            <a:fillToRect l="100000" t="100000" r="100000" b="100000"/>
          </a:path>
          <a:tileRect/>
        </a:gradFill>
        <a:gradFill>
          <a:gsLst>
            <a:gs pos="0">
              <a:schemeClr val="phClr">
                <a:shade val="85000"/>
              </a:schemeClr>
            </a:gs>
            <a:gs pos="34000">
              <a:schemeClr val="phClr">
                <a:shade val="87000"/>
              </a:schemeClr>
            </a:gs>
            <a:gs pos="70000">
              <a:schemeClr val="phClr">
                <a:tint val="100000"/>
                <a:shade val="90000"/>
              </a:schemeClr>
            </a:gs>
            <a:gs pos="100000">
              <a:schemeClr val="phClr">
                <a:tint val="100000"/>
                <a:shade val="100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12700" cap="flat" cmpd="sng" algn="ctr">
          <a:prstDash val="solid"/>
        </a:ln>
        <a:ln w="15875" cap="flat" cmpd="sng" algn="ctr">
          <a:prstDash val="solid"/>
        </a:ln>
        <a:ln w="254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</a:schemeClr>
        </a:solidFill>
        <a:gradFill>
          <a:gsLst>
            <a:gs pos="0">
              <a:schemeClr val="phClr">
                <a:tint val="96000"/>
                <a:shade val="99000"/>
              </a:schemeClr>
            </a:gs>
            <a:gs pos="65000">
              <a:schemeClr val="phClr">
                <a:tint val="100000"/>
                <a:shade val="80000"/>
              </a:schemeClr>
            </a:gs>
            <a:gs pos="100000">
              <a:schemeClr val="phClr">
                <a:tint val="100000"/>
                <a:shade val="48000"/>
              </a:schemeClr>
            </a:gs>
          </a:gsLst>
          <a:lin ang="162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RowColHeaders="0" zoomScaleNormal="100" workbookViewId="0">
      <selection activeCell="D3" sqref="D3"/>
    </sheetView>
  </sheetViews>
  <sheetFormatPr baseColWidth="10" defaultColWidth="34" defaultRowHeight="15" customHeight="1" x14ac:dyDescent="0.2"/>
  <sheetData>
    <row r="1" spans="1:8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4" t="s">
        <v>8</v>
      </c>
      <c r="B2" s="5">
        <v>45809</v>
      </c>
      <c r="C2">
        <v>0.61</v>
      </c>
      <c r="D2">
        <v>420</v>
      </c>
      <c r="E2">
        <v>26</v>
      </c>
      <c r="F2">
        <v>34.9</v>
      </c>
      <c r="G2">
        <v>18.8</v>
      </c>
      <c r="H2">
        <v>1540</v>
      </c>
    </row>
    <row r="3" spans="1:8" x14ac:dyDescent="0.2">
      <c r="A3" s="4" t="s">
        <v>8</v>
      </c>
      <c r="B3" s="5">
        <v>45810</v>
      </c>
    </row>
    <row r="4" spans="1:8" x14ac:dyDescent="0.2">
      <c r="A4" s="4" t="s">
        <v>8</v>
      </c>
      <c r="B4" s="5">
        <v>45811</v>
      </c>
    </row>
    <row r="5" spans="1:8" x14ac:dyDescent="0.2">
      <c r="A5" s="4" t="s">
        <v>8</v>
      </c>
      <c r="B5" s="5">
        <v>45812</v>
      </c>
    </row>
    <row r="6" spans="1:8" x14ac:dyDescent="0.2">
      <c r="A6" s="4" t="s">
        <v>8</v>
      </c>
      <c r="B6" s="5">
        <v>45813</v>
      </c>
    </row>
    <row r="7" spans="1:8" x14ac:dyDescent="0.2">
      <c r="A7" s="4" t="s">
        <v>8</v>
      </c>
      <c r="B7" s="5">
        <v>45814</v>
      </c>
    </row>
    <row r="8" spans="1:8" x14ac:dyDescent="0.2">
      <c r="A8" s="4" t="s">
        <v>8</v>
      </c>
      <c r="B8" s="5">
        <v>45815</v>
      </c>
    </row>
    <row r="9" spans="1:8" x14ac:dyDescent="0.2">
      <c r="A9" s="4" t="s">
        <v>8</v>
      </c>
      <c r="B9" s="5">
        <v>45816</v>
      </c>
    </row>
    <row r="10" spans="1:8" x14ac:dyDescent="0.2">
      <c r="A10" s="4" t="s">
        <v>8</v>
      </c>
      <c r="B10" s="5">
        <v>45817</v>
      </c>
    </row>
    <row r="11" spans="1:8" x14ac:dyDescent="0.2">
      <c r="A11" s="4" t="s">
        <v>8</v>
      </c>
      <c r="B11" s="5">
        <v>45818</v>
      </c>
    </row>
    <row r="12" spans="1:8" x14ac:dyDescent="0.2">
      <c r="A12" s="4" t="s">
        <v>9</v>
      </c>
      <c r="B12" s="5">
        <v>45809</v>
      </c>
    </row>
    <row r="13" spans="1:8" x14ac:dyDescent="0.2">
      <c r="A13" s="4" t="s">
        <v>9</v>
      </c>
      <c r="B13" s="5">
        <v>45810</v>
      </c>
    </row>
    <row r="14" spans="1:8" x14ac:dyDescent="0.2">
      <c r="A14" s="4" t="s">
        <v>9</v>
      </c>
      <c r="B14" s="5">
        <v>45811</v>
      </c>
    </row>
    <row r="15" spans="1:8" x14ac:dyDescent="0.2">
      <c r="A15" s="4" t="s">
        <v>9</v>
      </c>
      <c r="B15" s="5">
        <v>45812</v>
      </c>
    </row>
    <row r="16" spans="1:8" x14ac:dyDescent="0.2">
      <c r="A16" s="4" t="s">
        <v>9</v>
      </c>
      <c r="B16" s="5">
        <v>45813</v>
      </c>
    </row>
    <row r="17" spans="1:2" x14ac:dyDescent="0.2">
      <c r="A17" s="4" t="s">
        <v>9</v>
      </c>
      <c r="B17" s="5">
        <v>45814</v>
      </c>
    </row>
    <row r="18" spans="1:2" x14ac:dyDescent="0.2">
      <c r="A18" s="4" t="s">
        <v>9</v>
      </c>
      <c r="B18" s="5">
        <v>45815</v>
      </c>
    </row>
    <row r="19" spans="1:2" x14ac:dyDescent="0.2">
      <c r="A19" s="4" t="s">
        <v>9</v>
      </c>
      <c r="B19" s="5">
        <v>45816</v>
      </c>
    </row>
    <row r="20" spans="1:2" x14ac:dyDescent="0.2">
      <c r="A20" s="4" t="s">
        <v>9</v>
      </c>
      <c r="B20" s="5">
        <v>45817</v>
      </c>
    </row>
    <row r="21" spans="1:2" x14ac:dyDescent="0.2">
      <c r="A21" s="4" t="s">
        <v>9</v>
      </c>
      <c r="B21" s="5">
        <v>45818</v>
      </c>
    </row>
    <row r="22" spans="1:2" x14ac:dyDescent="0.2">
      <c r="A22" s="6" t="s">
        <v>10</v>
      </c>
      <c r="B22" s="5">
        <v>45809</v>
      </c>
    </row>
    <row r="23" spans="1:2" x14ac:dyDescent="0.2">
      <c r="A23" s="6" t="s">
        <v>10</v>
      </c>
      <c r="B23" s="5">
        <v>45810</v>
      </c>
    </row>
    <row r="24" spans="1:2" x14ac:dyDescent="0.2">
      <c r="A24" s="6" t="s">
        <v>10</v>
      </c>
      <c r="B24" s="5">
        <v>45811</v>
      </c>
    </row>
    <row r="25" spans="1:2" x14ac:dyDescent="0.2">
      <c r="A25" s="6" t="s">
        <v>10</v>
      </c>
      <c r="B25" s="5">
        <v>45812</v>
      </c>
    </row>
    <row r="26" spans="1:2" x14ac:dyDescent="0.2">
      <c r="A26" s="6" t="s">
        <v>10</v>
      </c>
      <c r="B26" s="5">
        <v>45813</v>
      </c>
    </row>
    <row r="27" spans="1:2" x14ac:dyDescent="0.2">
      <c r="A27" s="6" t="s">
        <v>10</v>
      </c>
      <c r="B27" s="5">
        <v>45814</v>
      </c>
    </row>
    <row r="28" spans="1:2" x14ac:dyDescent="0.2">
      <c r="A28" s="6" t="s">
        <v>10</v>
      </c>
      <c r="B28" s="5">
        <v>45815</v>
      </c>
    </row>
    <row r="29" spans="1:2" x14ac:dyDescent="0.2">
      <c r="A29" s="6" t="s">
        <v>10</v>
      </c>
      <c r="B29" s="5">
        <v>45816</v>
      </c>
    </row>
    <row r="30" spans="1:2" x14ac:dyDescent="0.2">
      <c r="A30" s="6" t="s">
        <v>10</v>
      </c>
      <c r="B30" s="5">
        <v>45817</v>
      </c>
    </row>
    <row r="31" spans="1:2" x14ac:dyDescent="0.2">
      <c r="A31" s="6" t="s">
        <v>10</v>
      </c>
      <c r="B31" s="5">
        <v>45818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RowColHeaders="0" zoomScaleNormal="100" workbookViewId="0">
      <selection activeCell="D2" sqref="D2"/>
    </sheetView>
  </sheetViews>
  <sheetFormatPr baseColWidth="10" defaultColWidth="17.33203125" defaultRowHeight="15" customHeight="1" x14ac:dyDescent="0.2"/>
  <cols>
    <col min="3" max="3" width="19.83203125" customWidth="1"/>
    <col min="4" max="4" width="24.6640625" customWidth="1"/>
    <col min="5" max="5" width="23.33203125" customWidth="1"/>
    <col min="6" max="6" width="24.1640625" customWidth="1"/>
  </cols>
  <sheetData>
    <row r="1" spans="1:8" x14ac:dyDescent="0.2">
      <c r="A1" s="2" t="s">
        <v>1</v>
      </c>
      <c r="B1" s="3" t="s">
        <v>2</v>
      </c>
      <c r="C1" s="3" t="s">
        <v>3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2">
      <c r="A2" s="7">
        <v>45809</v>
      </c>
      <c r="B2" s="8">
        <f>STANDARDIZE(Table2[[#This Row],[FT:CT]],'Baseline &amp; Fatigue Flags (2)'!$C$2,'Baseline &amp; Fatigue Flags (2)'!$D$2)</f>
        <v>-0.8057906658645213</v>
      </c>
      <c r="C2" s="8">
        <f>STANDARDIZE(Table2[[#This Row],[Eccentric Duration (s)]],'Baseline &amp; Fatigue Flags (2)'!$C$3,'Baseline &amp; Fatigue Flags (2)'!$D$3)*-1</f>
        <v>0.48666970803858012</v>
      </c>
      <c r="D2" s="8">
        <f>STANDARDIZE(Table2[[#This Row],[Countermovement Depth (cm) ]],'Baseline &amp; Fatigue Flags (2)'!$C$4,'Baseline &amp; Fatigue Flags (2)'!$D$4)</f>
        <v>-0.36314363143629319</v>
      </c>
      <c r="E2" s="8">
        <f>STANDARDIZE(Table2[[#This Row],[Relative Peak Power (W/Kg)]],'Baseline &amp; Fatigue Flags (2)'!$C$5,'Baseline &amp; Fatigue Flags (2)'!$D$5)</f>
        <v>-1.2937587462672879</v>
      </c>
      <c r="F2" s="8">
        <f>STANDARDIZE(Table2[[#This Row],[Jump Height (cm)]],'Baseline &amp; Fatigue Flags (2)'!$C$6,'Baseline &amp; Fatigue Flags (2)'!$D$6)</f>
        <v>-1.89577632760383</v>
      </c>
      <c r="G2" s="8">
        <f>STANDARDIZE(Table2[[#This Row],[Force @ 0 Velcotiy ]],'Baseline &amp; Fatigue Flags (2)'!$C$7,'Baseline &amp; Fatigue Flags (2)'!$D$7)</f>
        <v>-1.3279775231572482</v>
      </c>
      <c r="H2" s="8">
        <f>AVERAGE(Table35[[#This Row],[FT:CT]:[Force @ 0 Velocity ]])</f>
        <v>-0.86662953104843332</v>
      </c>
    </row>
    <row r="3" spans="1:8" x14ac:dyDescent="0.2">
      <c r="A3" s="7">
        <v>45810</v>
      </c>
      <c r="B3" s="8">
        <f>STANDARDIZE(Table2[[#This Row],[FT:CT]],'Baseline &amp; Fatigue Flags (2)'!$C$2,'Baseline &amp; Fatigue Flags (2)'!$D$2)</f>
        <v>-17.19020087177644</v>
      </c>
      <c r="C3" s="8">
        <f>STANDARDIZE(Table2[[#This Row],[Eccentric Duration (s)]],'Baseline &amp; Fatigue Flags (2)'!$C$3,'Baseline &amp; Fatigue Flags (2)'!$D$3)*-1</f>
        <v>19.451736681088015</v>
      </c>
      <c r="D3" s="8">
        <f>STANDARDIZE(Table2[[#This Row],[Countermovement Depth (cm) ]],'Baseline &amp; Fatigue Flags (2)'!$C$4,'Baseline &amp; Fatigue Flags (2)'!$D$4)</f>
        <v>-13.046070460704588</v>
      </c>
      <c r="E3" s="8">
        <f>STANDARDIZE(Table2[[#This Row],[Relative Peak Power (W/Kg)]],'Baseline &amp; Fatigue Flags (2)'!$C$5,'Baseline &amp; Fatigue Flags (2)'!$D$5)</f>
        <v>-24.123512802590323</v>
      </c>
      <c r="F3" s="8">
        <f>STANDARDIZE(Table2[[#This Row],[Jump Height (cm)]],'Baseline &amp; Fatigue Flags (2)'!$C$6,'Baseline &amp; Fatigue Flags (2)'!$D$6)</f>
        <v>-14.72639051282645</v>
      </c>
      <c r="G3" s="8">
        <f>STANDARDIZE(Table2[[#This Row],[Force @ 0 Velcotiy ]],'Baseline &amp; Fatigue Flags (2)'!$C$7,'Baseline &amp; Fatigue Flags (2)'!$D$7)</f>
        <v>-31.750735326397077</v>
      </c>
      <c r="H3" s="8">
        <f>AVERAGE(Table35[[#This Row],[FT:CT]:[Force @ 0 Velocity ]])</f>
        <v>-13.56419554886781</v>
      </c>
    </row>
    <row r="4" spans="1:8" x14ac:dyDescent="0.2">
      <c r="A4" s="7">
        <v>45811</v>
      </c>
      <c r="B4" s="8">
        <f>STANDARDIZE(Table2[[#This Row],[FT:CT]],'Baseline &amp; Fatigue Flags (2)'!$C$2,'Baseline &amp; Fatigue Flags (2)'!$D$2)</f>
        <v>-17.19020087177644</v>
      </c>
      <c r="C4" s="8">
        <f>STANDARDIZE(Table2[[#This Row],[Eccentric Duration (s)]],'Baseline &amp; Fatigue Flags (2)'!$C$3,'Baseline &amp; Fatigue Flags (2)'!$D$3)*-1</f>
        <v>19.451736681088015</v>
      </c>
      <c r="D4" s="8">
        <f>STANDARDIZE(Table2[[#This Row],[Countermovement Depth (cm) ]],'Baseline &amp; Fatigue Flags (2)'!$C$4,'Baseline &amp; Fatigue Flags (2)'!$D$4)</f>
        <v>-13.046070460704588</v>
      </c>
      <c r="E4" s="8">
        <f>STANDARDIZE(Table2[[#This Row],[Relative Peak Power (W/Kg)]],'Baseline &amp; Fatigue Flags (2)'!$C$5,'Baseline &amp; Fatigue Flags (2)'!$D$5)</f>
        <v>-24.123512802590323</v>
      </c>
      <c r="F4" s="8">
        <f>STANDARDIZE(Table2[[#This Row],[Jump Height (cm)]],'Baseline &amp; Fatigue Flags (2)'!$C$6,'Baseline &amp; Fatigue Flags (2)'!$D$6)</f>
        <v>-14.72639051282645</v>
      </c>
      <c r="G4" s="8">
        <f>STANDARDIZE(Table2[[#This Row],[Force @ 0 Velcotiy ]],'Baseline &amp; Fatigue Flags (2)'!$C$7,'Baseline &amp; Fatigue Flags (2)'!$D$7)</f>
        <v>-31.750735326397077</v>
      </c>
      <c r="H4" s="8">
        <f>AVERAGE(Table35[[#This Row],[FT:CT]:[Force @ 0 Velocity ]])</f>
        <v>-13.56419554886781</v>
      </c>
    </row>
    <row r="5" spans="1:8" x14ac:dyDescent="0.2">
      <c r="A5" s="7">
        <v>45812</v>
      </c>
      <c r="B5" s="8">
        <f>STANDARDIZE(Table2[[#This Row],[FT:CT]],'Baseline &amp; Fatigue Flags (2)'!$C$2,'Baseline &amp; Fatigue Flags (2)'!$D$2)</f>
        <v>-17.19020087177644</v>
      </c>
      <c r="C5" s="8">
        <f>STANDARDIZE(Table2[[#This Row],[Eccentric Duration (s)]],'Baseline &amp; Fatigue Flags (2)'!$C$3,'Baseline &amp; Fatigue Flags (2)'!$D$3)*-1</f>
        <v>19.451736681088015</v>
      </c>
      <c r="D5" s="8">
        <f>STANDARDIZE(Table2[[#This Row],[Countermovement Depth (cm) ]],'Baseline &amp; Fatigue Flags (2)'!$C$4,'Baseline &amp; Fatigue Flags (2)'!$D$4)</f>
        <v>-13.046070460704588</v>
      </c>
      <c r="E5" s="8">
        <f>STANDARDIZE(Table2[[#This Row],[Relative Peak Power (W/Kg)]],'Baseline &amp; Fatigue Flags (2)'!$C$5,'Baseline &amp; Fatigue Flags (2)'!$D$5)</f>
        <v>-24.123512802590323</v>
      </c>
      <c r="F5" s="8">
        <f>STANDARDIZE(Table2[[#This Row],[Jump Height (cm)]],'Baseline &amp; Fatigue Flags (2)'!$C$6,'Baseline &amp; Fatigue Flags (2)'!$D$6)</f>
        <v>-14.72639051282645</v>
      </c>
      <c r="G5" s="8">
        <f>STANDARDIZE(Table2[[#This Row],[Force @ 0 Velcotiy ]],'Baseline &amp; Fatigue Flags (2)'!$C$7,'Baseline &amp; Fatigue Flags (2)'!$D$7)</f>
        <v>-31.750735326397077</v>
      </c>
      <c r="H5" s="8">
        <f>AVERAGE(Table35[[#This Row],[FT:CT]:[Force @ 0 Velocity ]])</f>
        <v>-13.56419554886781</v>
      </c>
    </row>
    <row r="6" spans="1:8" x14ac:dyDescent="0.2">
      <c r="A6" s="7">
        <v>45813</v>
      </c>
      <c r="B6" s="8">
        <f>STANDARDIZE(Table2[[#This Row],[FT:CT]],'Baseline &amp; Fatigue Flags (2)'!$C$2,'Baseline &amp; Fatigue Flags (2)'!$D$2)</f>
        <v>-17.19020087177644</v>
      </c>
      <c r="C6" s="8">
        <f>STANDARDIZE(Table2[[#This Row],[Eccentric Duration (s)]],'Baseline &amp; Fatigue Flags (2)'!$C$3,'Baseline &amp; Fatigue Flags (2)'!$D$3)*-1</f>
        <v>19.451736681088015</v>
      </c>
      <c r="D6" s="8">
        <f>STANDARDIZE(Table2[[#This Row],[Countermovement Depth (cm) ]],'Baseline &amp; Fatigue Flags (2)'!$C$4,'Baseline &amp; Fatigue Flags (2)'!$D$4)</f>
        <v>-13.046070460704588</v>
      </c>
      <c r="E6" s="8">
        <f>STANDARDIZE(Table2[[#This Row],[Relative Peak Power (W/Kg)]],'Baseline &amp; Fatigue Flags (2)'!$C$5,'Baseline &amp; Fatigue Flags (2)'!$D$5)</f>
        <v>-24.123512802590323</v>
      </c>
      <c r="F6" s="8">
        <f>STANDARDIZE(Table2[[#This Row],[Jump Height (cm)]],'Baseline &amp; Fatigue Flags (2)'!$C$6,'Baseline &amp; Fatigue Flags (2)'!$D$6)</f>
        <v>-14.72639051282645</v>
      </c>
      <c r="G6" s="8">
        <f>STANDARDIZE(Table2[[#This Row],[Force @ 0 Velcotiy ]],'Baseline &amp; Fatigue Flags (2)'!$C$7,'Baseline &amp; Fatigue Flags (2)'!$D$7)</f>
        <v>-31.750735326397077</v>
      </c>
      <c r="H6" s="8">
        <f>AVERAGE(Table35[[#This Row],[FT:CT]:[Force @ 0 Velocity ]])</f>
        <v>-13.56419554886781</v>
      </c>
    </row>
    <row r="7" spans="1:8" x14ac:dyDescent="0.2">
      <c r="A7" s="7">
        <v>45814</v>
      </c>
      <c r="B7" s="8">
        <f>STANDARDIZE(Table2[[#This Row],[FT:CT]],'Baseline &amp; Fatigue Flags (2)'!$C$2,'Baseline &amp; Fatigue Flags (2)'!$D$2)</f>
        <v>-17.19020087177644</v>
      </c>
      <c r="C7" s="8">
        <f>STANDARDIZE(Table2[[#This Row],[Eccentric Duration (s)]],'Baseline &amp; Fatigue Flags (2)'!$C$3,'Baseline &amp; Fatigue Flags (2)'!$D$3)*-1</f>
        <v>19.451736681088015</v>
      </c>
      <c r="D7" s="8">
        <f>STANDARDIZE(Table2[[#This Row],[Countermovement Depth (cm) ]],'Baseline &amp; Fatigue Flags (2)'!$C$4,'Baseline &amp; Fatigue Flags (2)'!$D$4)</f>
        <v>-13.046070460704588</v>
      </c>
      <c r="E7" s="8">
        <f>STANDARDIZE(Table2[[#This Row],[Relative Peak Power (W/Kg)]],'Baseline &amp; Fatigue Flags (2)'!$C$5,'Baseline &amp; Fatigue Flags (2)'!$D$5)</f>
        <v>-24.123512802590323</v>
      </c>
      <c r="F7" s="8">
        <f>STANDARDIZE(Table2[[#This Row],[Jump Height (cm)]],'Baseline &amp; Fatigue Flags (2)'!$C$6,'Baseline &amp; Fatigue Flags (2)'!$D$6)</f>
        <v>-14.72639051282645</v>
      </c>
      <c r="G7" s="8">
        <f>STANDARDIZE(Table2[[#This Row],[Force @ 0 Velcotiy ]],'Baseline &amp; Fatigue Flags (2)'!$C$7,'Baseline &amp; Fatigue Flags (2)'!$D$7)</f>
        <v>-31.750735326397077</v>
      </c>
      <c r="H7" s="8">
        <f>AVERAGE(Table35[[#This Row],[FT:CT]:[Force @ 0 Velocity ]])</f>
        <v>-13.56419554886781</v>
      </c>
    </row>
    <row r="8" spans="1:8" x14ac:dyDescent="0.2">
      <c r="A8" s="7">
        <v>45815</v>
      </c>
      <c r="B8" s="8">
        <f>STANDARDIZE(Table2[[#This Row],[FT:CT]],'Baseline &amp; Fatigue Flags (2)'!$C$2,'Baseline &amp; Fatigue Flags (2)'!$D$2)</f>
        <v>-17.19020087177644</v>
      </c>
      <c r="C8" s="8">
        <f>STANDARDIZE(Table2[[#This Row],[Eccentric Duration (s)]],'Baseline &amp; Fatigue Flags (2)'!$C$3,'Baseline &amp; Fatigue Flags (2)'!$D$3)*-1</f>
        <v>19.451736681088015</v>
      </c>
      <c r="D8" s="8">
        <f>STANDARDIZE(Table2[[#This Row],[Countermovement Depth (cm) ]],'Baseline &amp; Fatigue Flags (2)'!$C$4,'Baseline &amp; Fatigue Flags (2)'!$D$4)</f>
        <v>-13.046070460704588</v>
      </c>
      <c r="E8" s="8">
        <f>STANDARDIZE(Table2[[#This Row],[Relative Peak Power (W/Kg)]],'Baseline &amp; Fatigue Flags (2)'!$C$5,'Baseline &amp; Fatigue Flags (2)'!$D$5)</f>
        <v>-24.123512802590323</v>
      </c>
      <c r="F8" s="8">
        <f>STANDARDIZE(Table2[[#This Row],[Jump Height (cm)]],'Baseline &amp; Fatigue Flags (2)'!$C$6,'Baseline &amp; Fatigue Flags (2)'!$D$6)</f>
        <v>-14.72639051282645</v>
      </c>
      <c r="G8" s="8">
        <f>STANDARDIZE(Table2[[#This Row],[Force @ 0 Velcotiy ]],'Baseline &amp; Fatigue Flags (2)'!$C$7,'Baseline &amp; Fatigue Flags (2)'!$D$7)</f>
        <v>-31.750735326397077</v>
      </c>
      <c r="H8" s="8">
        <f>AVERAGE(Table35[[#This Row],[FT:CT]:[Force @ 0 Velocity ]])</f>
        <v>-13.56419554886781</v>
      </c>
    </row>
    <row r="9" spans="1:8" x14ac:dyDescent="0.2">
      <c r="A9" s="7">
        <v>45816</v>
      </c>
      <c r="B9" s="8">
        <f>STANDARDIZE(Table2[[#This Row],[FT:CT]],'Baseline &amp; Fatigue Flags (2)'!$C$2,'Baseline &amp; Fatigue Flags (2)'!$D$2)</f>
        <v>-17.19020087177644</v>
      </c>
      <c r="C9" s="8">
        <f>STANDARDIZE(Table2[[#This Row],[Eccentric Duration (s)]],'Baseline &amp; Fatigue Flags (2)'!$C$3,'Baseline &amp; Fatigue Flags (2)'!$D$3)*-1</f>
        <v>19.451736681088015</v>
      </c>
      <c r="D9" s="8">
        <f>STANDARDIZE(Table2[[#This Row],[Countermovement Depth (cm) ]],'Baseline &amp; Fatigue Flags (2)'!$C$4,'Baseline &amp; Fatigue Flags (2)'!$D$4)</f>
        <v>-13.046070460704588</v>
      </c>
      <c r="E9" s="8">
        <f>STANDARDIZE(Table2[[#This Row],[Relative Peak Power (W/Kg)]],'Baseline &amp; Fatigue Flags (2)'!$C$5,'Baseline &amp; Fatigue Flags (2)'!$D$5)</f>
        <v>-24.123512802590323</v>
      </c>
      <c r="F9" s="8">
        <f>STANDARDIZE(Table2[[#This Row],[Jump Height (cm)]],'Baseline &amp; Fatigue Flags (2)'!$C$6,'Baseline &amp; Fatigue Flags (2)'!$D$6)</f>
        <v>-14.72639051282645</v>
      </c>
      <c r="G9" s="8">
        <f>STANDARDIZE(Table2[[#This Row],[Force @ 0 Velcotiy ]],'Baseline &amp; Fatigue Flags (2)'!$C$7,'Baseline &amp; Fatigue Flags (2)'!$D$7)</f>
        <v>-31.750735326397077</v>
      </c>
      <c r="H9" s="8">
        <f>AVERAGE(Table35[[#This Row],[FT:CT]:[Force @ 0 Velocity ]])</f>
        <v>-13.56419554886781</v>
      </c>
    </row>
    <row r="10" spans="1:8" x14ac:dyDescent="0.2">
      <c r="A10" s="7">
        <v>45817</v>
      </c>
      <c r="B10" s="8">
        <f>STANDARDIZE(Table2[[#This Row],[FT:CT]],'Baseline &amp; Fatigue Flags (2)'!$C$2,'Baseline &amp; Fatigue Flags (2)'!$D$2)</f>
        <v>-17.19020087177644</v>
      </c>
      <c r="C10" s="8">
        <f>STANDARDIZE(Table2[[#This Row],[Eccentric Duration (s)]],'Baseline &amp; Fatigue Flags (2)'!$C$3,'Baseline &amp; Fatigue Flags (2)'!$D$3)*-1</f>
        <v>19.451736681088015</v>
      </c>
      <c r="D10" s="8">
        <f>STANDARDIZE(Table2[[#This Row],[Countermovement Depth (cm) ]],'Baseline &amp; Fatigue Flags (2)'!$C$4,'Baseline &amp; Fatigue Flags (2)'!$D$4)</f>
        <v>-13.046070460704588</v>
      </c>
      <c r="E10" s="8">
        <f>STANDARDIZE(Table2[[#This Row],[Relative Peak Power (W/Kg)]],'Baseline &amp; Fatigue Flags (2)'!$C$5,'Baseline &amp; Fatigue Flags (2)'!$D$5)</f>
        <v>-24.123512802590323</v>
      </c>
      <c r="F10" s="8">
        <f>STANDARDIZE(Table2[[#This Row],[Jump Height (cm)]],'Baseline &amp; Fatigue Flags (2)'!$C$6,'Baseline &amp; Fatigue Flags (2)'!$D$6)</f>
        <v>-14.72639051282645</v>
      </c>
      <c r="G10" s="8">
        <f>STANDARDIZE(Table2[[#This Row],[Force @ 0 Velcotiy ]],'Baseline &amp; Fatigue Flags (2)'!$C$7,'Baseline &amp; Fatigue Flags (2)'!$D$7)</f>
        <v>-31.750735326397077</v>
      </c>
      <c r="H10" s="8">
        <f>AVERAGE(Table35[[#This Row],[FT:CT]:[Force @ 0 Velocity ]])</f>
        <v>-13.56419554886781</v>
      </c>
    </row>
    <row r="11" spans="1:8" x14ac:dyDescent="0.2">
      <c r="A11" s="7">
        <v>45818</v>
      </c>
      <c r="B11" s="8">
        <f>STANDARDIZE(Table2[[#This Row],[FT:CT]],'Baseline &amp; Fatigue Flags (2)'!$C$2,'Baseline &amp; Fatigue Flags (2)'!$D$2)</f>
        <v>-17.19020087177644</v>
      </c>
      <c r="C11" s="8">
        <f>STANDARDIZE(Table2[[#This Row],[Eccentric Duration (s)]],'Baseline &amp; Fatigue Flags (2)'!$C$3,'Baseline &amp; Fatigue Flags (2)'!$D$3)*-1</f>
        <v>19.451736681088015</v>
      </c>
      <c r="D11" s="8">
        <f>STANDARDIZE(Table2[[#This Row],[Countermovement Depth (cm) ]],'Baseline &amp; Fatigue Flags (2)'!$C$4,'Baseline &amp; Fatigue Flags (2)'!$D$4)</f>
        <v>-13.046070460704588</v>
      </c>
      <c r="E11" s="8">
        <f>STANDARDIZE(Table2[[#This Row],[Relative Peak Power (W/Kg)]],'Baseline &amp; Fatigue Flags (2)'!$C$5,'Baseline &amp; Fatigue Flags (2)'!$D$5)</f>
        <v>-24.123512802590323</v>
      </c>
      <c r="F11" s="8">
        <f>STANDARDIZE(Table2[[#This Row],[Jump Height (cm)]],'Baseline &amp; Fatigue Flags (2)'!$C$6,'Baseline &amp; Fatigue Flags (2)'!$D$6)</f>
        <v>-14.72639051282645</v>
      </c>
      <c r="G11" s="8">
        <f>STANDARDIZE(Table2[[#This Row],[Force @ 0 Velcotiy ]],'Baseline &amp; Fatigue Flags (2)'!$C$7,'Baseline &amp; Fatigue Flags (2)'!$D$7)</f>
        <v>-31.750735326397077</v>
      </c>
      <c r="H11" s="8">
        <f>AVERAGE(Table35[[#This Row],[FT:CT]:[Force @ 0 Velocity ]])</f>
        <v>-13.56419554886781</v>
      </c>
    </row>
    <row r="12" spans="1:8" x14ac:dyDescent="0.2">
      <c r="A12" s="7">
        <v>45809</v>
      </c>
      <c r="B12" s="8">
        <f>STANDARDIZE(Table2[[#This Row],[FT:CT]],'Baseline &amp; Fatigue Flags (2)'!$C$2,'Baseline &amp; Fatigue Flags (2)'!$D$2)</f>
        <v>-17.19020087177644</v>
      </c>
      <c r="C12" s="8">
        <f>STANDARDIZE(Table2[[#This Row],[Eccentric Duration (s)]],'Baseline &amp; Fatigue Flags (2)'!$C$3,'Baseline &amp; Fatigue Flags (2)'!$D$3)*-1</f>
        <v>19.451736681088015</v>
      </c>
      <c r="D12" s="8">
        <f>STANDARDIZE(Table2[[#This Row],[Countermovement Depth (cm) ]],'Baseline &amp; Fatigue Flags (2)'!$C$4,'Baseline &amp; Fatigue Flags (2)'!$D$4)</f>
        <v>-13.046070460704588</v>
      </c>
      <c r="E12" s="8">
        <f>STANDARDIZE(Table2[[#This Row],[Relative Peak Power (W/Kg)]],'Baseline &amp; Fatigue Flags (2)'!$C$5,'Baseline &amp; Fatigue Flags (2)'!$D$5)</f>
        <v>-24.123512802590323</v>
      </c>
      <c r="F12" s="8">
        <f>STANDARDIZE(Table2[[#This Row],[Jump Height (cm)]],'Baseline &amp; Fatigue Flags (2)'!$C$6,'Baseline &amp; Fatigue Flags (2)'!$D$6)</f>
        <v>-14.72639051282645</v>
      </c>
      <c r="G12" s="8">
        <f>STANDARDIZE(Table2[[#This Row],[Force @ 0 Velcotiy ]],'Baseline &amp; Fatigue Flags (2)'!$C$7,'Baseline &amp; Fatigue Flags (2)'!$D$7)</f>
        <v>-31.750735326397077</v>
      </c>
      <c r="H12" s="8">
        <f>AVERAGE(Table35[[#This Row],[FT:CT]:[Force @ 0 Velocity ]])</f>
        <v>-13.56419554886781</v>
      </c>
    </row>
    <row r="13" spans="1:8" x14ac:dyDescent="0.2">
      <c r="A13" s="7">
        <v>45810</v>
      </c>
      <c r="B13" s="8">
        <f>STANDARDIZE(Table2[[#This Row],[FT:CT]],'Baseline &amp; Fatigue Flags (2)'!$C$2,'Baseline &amp; Fatigue Flags (2)'!$D$2)</f>
        <v>-17.19020087177644</v>
      </c>
      <c r="C13" s="8">
        <f>STANDARDIZE(Table2[[#This Row],[Eccentric Duration (s)]],'Baseline &amp; Fatigue Flags (2)'!$C$3,'Baseline &amp; Fatigue Flags (2)'!$D$3)*-1</f>
        <v>19.451736681088015</v>
      </c>
      <c r="D13" s="8">
        <f>STANDARDIZE(Table2[[#This Row],[Countermovement Depth (cm) ]],'Baseline &amp; Fatigue Flags (2)'!$C$4,'Baseline &amp; Fatigue Flags (2)'!$D$4)</f>
        <v>-13.046070460704588</v>
      </c>
      <c r="E13" s="8">
        <f>STANDARDIZE(Table2[[#This Row],[Relative Peak Power (W/Kg)]],'Baseline &amp; Fatigue Flags (2)'!$C$5,'Baseline &amp; Fatigue Flags (2)'!$D$5)</f>
        <v>-24.123512802590323</v>
      </c>
      <c r="F13" s="8">
        <f>STANDARDIZE(Table2[[#This Row],[Jump Height (cm)]],'Baseline &amp; Fatigue Flags (2)'!$C$6,'Baseline &amp; Fatigue Flags (2)'!$D$6)</f>
        <v>-14.72639051282645</v>
      </c>
      <c r="G13" s="8">
        <f>STANDARDIZE(Table2[[#This Row],[Force @ 0 Velcotiy ]],'Baseline &amp; Fatigue Flags (2)'!$C$7,'Baseline &amp; Fatigue Flags (2)'!$D$7)</f>
        <v>-31.750735326397077</v>
      </c>
      <c r="H13" s="8">
        <f>AVERAGE(Table35[[#This Row],[FT:CT]:[Force @ 0 Velocity ]])</f>
        <v>-13.56419554886781</v>
      </c>
    </row>
    <row r="14" spans="1:8" x14ac:dyDescent="0.2">
      <c r="A14" s="7">
        <v>45811</v>
      </c>
      <c r="B14" s="8">
        <f>STANDARDIZE(Table2[[#This Row],[FT:CT]],'Baseline &amp; Fatigue Flags (2)'!$C$2,'Baseline &amp; Fatigue Flags (2)'!$D$2)</f>
        <v>-17.19020087177644</v>
      </c>
      <c r="C14" s="8">
        <f>STANDARDIZE(Table2[[#This Row],[Eccentric Duration (s)]],'Baseline &amp; Fatigue Flags (2)'!$C$3,'Baseline &amp; Fatigue Flags (2)'!$D$3)*-1</f>
        <v>19.451736681088015</v>
      </c>
      <c r="D14" s="8">
        <f>STANDARDIZE(Table2[[#This Row],[Countermovement Depth (cm) ]],'Baseline &amp; Fatigue Flags (2)'!$C$4,'Baseline &amp; Fatigue Flags (2)'!$D$4)</f>
        <v>-13.046070460704588</v>
      </c>
      <c r="E14" s="8">
        <f>STANDARDIZE(Table2[[#This Row],[Relative Peak Power (W/Kg)]],'Baseline &amp; Fatigue Flags (2)'!$C$5,'Baseline &amp; Fatigue Flags (2)'!$D$5)</f>
        <v>-24.123512802590323</v>
      </c>
      <c r="F14" s="8">
        <f>STANDARDIZE(Table2[[#This Row],[Jump Height (cm)]],'Baseline &amp; Fatigue Flags (2)'!$C$6,'Baseline &amp; Fatigue Flags (2)'!$D$6)</f>
        <v>-14.72639051282645</v>
      </c>
      <c r="G14" s="8">
        <f>STANDARDIZE(Table2[[#This Row],[Force @ 0 Velcotiy ]],'Baseline &amp; Fatigue Flags (2)'!$C$7,'Baseline &amp; Fatigue Flags (2)'!$D$7)</f>
        <v>-31.750735326397077</v>
      </c>
      <c r="H14" s="8">
        <f>AVERAGE(Table35[[#This Row],[FT:CT]:[Force @ 0 Velocity ]])</f>
        <v>-13.56419554886781</v>
      </c>
    </row>
    <row r="15" spans="1:8" x14ac:dyDescent="0.2">
      <c r="A15" s="7">
        <v>45812</v>
      </c>
      <c r="B15" s="8">
        <f>STANDARDIZE(Table2[[#This Row],[FT:CT]],'Baseline &amp; Fatigue Flags (2)'!$C$2,'Baseline &amp; Fatigue Flags (2)'!$D$2)</f>
        <v>-17.19020087177644</v>
      </c>
      <c r="C15" s="8">
        <f>STANDARDIZE(Table2[[#This Row],[Eccentric Duration (s)]],'Baseline &amp; Fatigue Flags (2)'!$C$3,'Baseline &amp; Fatigue Flags (2)'!$D$3)*-1</f>
        <v>19.451736681088015</v>
      </c>
      <c r="D15" s="8">
        <f>STANDARDIZE(Table2[[#This Row],[Countermovement Depth (cm) ]],'Baseline &amp; Fatigue Flags (2)'!$C$4,'Baseline &amp; Fatigue Flags (2)'!$D$4)</f>
        <v>-13.046070460704588</v>
      </c>
      <c r="E15" s="8">
        <f>STANDARDIZE(Table2[[#This Row],[Relative Peak Power (W/Kg)]],'Baseline &amp; Fatigue Flags (2)'!$C$5,'Baseline &amp; Fatigue Flags (2)'!$D$5)</f>
        <v>-24.123512802590323</v>
      </c>
      <c r="F15" s="8">
        <f>STANDARDIZE(Table2[[#This Row],[Jump Height (cm)]],'Baseline &amp; Fatigue Flags (2)'!$C$6,'Baseline &amp; Fatigue Flags (2)'!$D$6)</f>
        <v>-14.72639051282645</v>
      </c>
      <c r="G15" s="8">
        <f>STANDARDIZE(Table2[[#This Row],[Force @ 0 Velcotiy ]],'Baseline &amp; Fatigue Flags (2)'!$C$7,'Baseline &amp; Fatigue Flags (2)'!$D$7)</f>
        <v>-31.750735326397077</v>
      </c>
      <c r="H15" s="8">
        <f>AVERAGE(Table35[[#This Row],[FT:CT]:[Force @ 0 Velocity ]])</f>
        <v>-13.56419554886781</v>
      </c>
    </row>
    <row r="16" spans="1:8" x14ac:dyDescent="0.2">
      <c r="A16" s="7">
        <v>45813</v>
      </c>
      <c r="B16" s="8">
        <f>STANDARDIZE(Table2[[#This Row],[FT:CT]],'Baseline &amp; Fatigue Flags (2)'!$C$2,'Baseline &amp; Fatigue Flags (2)'!$D$2)</f>
        <v>-17.19020087177644</v>
      </c>
      <c r="C16" s="8">
        <f>STANDARDIZE(Table2[[#This Row],[Eccentric Duration (s)]],'Baseline &amp; Fatigue Flags (2)'!$C$3,'Baseline &amp; Fatigue Flags (2)'!$D$3)*-1</f>
        <v>19.451736681088015</v>
      </c>
      <c r="D16" s="8">
        <f>STANDARDIZE(Table2[[#This Row],[Countermovement Depth (cm) ]],'Baseline &amp; Fatigue Flags (2)'!$C$4,'Baseline &amp; Fatigue Flags (2)'!$D$4)</f>
        <v>-13.046070460704588</v>
      </c>
      <c r="E16" s="8">
        <f>STANDARDIZE(Table2[[#This Row],[Relative Peak Power (W/Kg)]],'Baseline &amp; Fatigue Flags (2)'!$C$5,'Baseline &amp; Fatigue Flags (2)'!$D$5)</f>
        <v>-24.123512802590323</v>
      </c>
      <c r="F16" s="8">
        <f>STANDARDIZE(Table2[[#This Row],[Jump Height (cm)]],'Baseline &amp; Fatigue Flags (2)'!$C$6,'Baseline &amp; Fatigue Flags (2)'!$D$6)</f>
        <v>-14.72639051282645</v>
      </c>
      <c r="G16" s="8">
        <f>STANDARDIZE(Table2[[#This Row],[Force @ 0 Velcotiy ]],'Baseline &amp; Fatigue Flags (2)'!$C$7,'Baseline &amp; Fatigue Flags (2)'!$D$7)</f>
        <v>-31.750735326397077</v>
      </c>
      <c r="H16" s="8">
        <f>AVERAGE(Table35[[#This Row],[FT:CT]:[Force @ 0 Velocity ]])</f>
        <v>-13.56419554886781</v>
      </c>
    </row>
    <row r="17" spans="1:8" x14ac:dyDescent="0.2">
      <c r="A17" s="7">
        <v>45814</v>
      </c>
      <c r="B17" s="8">
        <f>STANDARDIZE(Table2[[#This Row],[FT:CT]],'Baseline &amp; Fatigue Flags (2)'!$C$2,'Baseline &amp; Fatigue Flags (2)'!$D$2)</f>
        <v>-17.19020087177644</v>
      </c>
      <c r="C17" s="8">
        <f>STANDARDIZE(Table2[[#This Row],[Eccentric Duration (s)]],'Baseline &amp; Fatigue Flags (2)'!$C$3,'Baseline &amp; Fatigue Flags (2)'!$D$3)*-1</f>
        <v>19.451736681088015</v>
      </c>
      <c r="D17" s="8">
        <f>STANDARDIZE(Table2[[#This Row],[Countermovement Depth (cm) ]],'Baseline &amp; Fatigue Flags (2)'!$C$4,'Baseline &amp; Fatigue Flags (2)'!$D$4)</f>
        <v>-13.046070460704588</v>
      </c>
      <c r="E17" s="8">
        <f>STANDARDIZE(Table2[[#This Row],[Relative Peak Power (W/Kg)]],'Baseline &amp; Fatigue Flags (2)'!$C$5,'Baseline &amp; Fatigue Flags (2)'!$D$5)</f>
        <v>-24.123512802590323</v>
      </c>
      <c r="F17" s="8">
        <f>STANDARDIZE(Table2[[#This Row],[Jump Height (cm)]],'Baseline &amp; Fatigue Flags (2)'!$C$6,'Baseline &amp; Fatigue Flags (2)'!$D$6)</f>
        <v>-14.72639051282645</v>
      </c>
      <c r="G17" s="8">
        <f>STANDARDIZE(Table2[[#This Row],[Force @ 0 Velcotiy ]],'Baseline &amp; Fatigue Flags (2)'!$C$7,'Baseline &amp; Fatigue Flags (2)'!$D$7)</f>
        <v>-31.750735326397077</v>
      </c>
      <c r="H17" s="8">
        <f>AVERAGE(Table35[[#This Row],[FT:CT]:[Force @ 0 Velocity ]])</f>
        <v>-13.56419554886781</v>
      </c>
    </row>
    <row r="18" spans="1:8" x14ac:dyDescent="0.2">
      <c r="A18" s="7">
        <v>45815</v>
      </c>
      <c r="B18" s="8">
        <f>STANDARDIZE(Table2[[#This Row],[FT:CT]],'Baseline &amp; Fatigue Flags (2)'!$C$2,'Baseline &amp; Fatigue Flags (2)'!$D$2)</f>
        <v>-17.19020087177644</v>
      </c>
      <c r="C18" s="8">
        <f>STANDARDIZE(Table2[[#This Row],[Eccentric Duration (s)]],'Baseline &amp; Fatigue Flags (2)'!$C$3,'Baseline &amp; Fatigue Flags (2)'!$D$3)*-1</f>
        <v>19.451736681088015</v>
      </c>
      <c r="D18" s="8">
        <f>STANDARDIZE(Table2[[#This Row],[Countermovement Depth (cm) ]],'Baseline &amp; Fatigue Flags (2)'!$C$4,'Baseline &amp; Fatigue Flags (2)'!$D$4)</f>
        <v>-13.046070460704588</v>
      </c>
      <c r="E18" s="8">
        <f>STANDARDIZE(Table2[[#This Row],[Relative Peak Power (W/Kg)]],'Baseline &amp; Fatigue Flags (2)'!$C$5,'Baseline &amp; Fatigue Flags (2)'!$D$5)</f>
        <v>-24.123512802590323</v>
      </c>
      <c r="F18" s="8">
        <f>STANDARDIZE(Table2[[#This Row],[Jump Height (cm)]],'Baseline &amp; Fatigue Flags (2)'!$C$6,'Baseline &amp; Fatigue Flags (2)'!$D$6)</f>
        <v>-14.72639051282645</v>
      </c>
      <c r="G18" s="8">
        <f>STANDARDIZE(Table2[[#This Row],[Force @ 0 Velcotiy ]],'Baseline &amp; Fatigue Flags (2)'!$C$7,'Baseline &amp; Fatigue Flags (2)'!$D$7)</f>
        <v>-31.750735326397077</v>
      </c>
      <c r="H18" s="8">
        <f>AVERAGE(Table35[[#This Row],[FT:CT]:[Force @ 0 Velocity ]])</f>
        <v>-13.56419554886781</v>
      </c>
    </row>
    <row r="19" spans="1:8" x14ac:dyDescent="0.2">
      <c r="A19" s="7">
        <v>45816</v>
      </c>
      <c r="B19" s="8">
        <f>STANDARDIZE(Table2[[#This Row],[FT:CT]],'Baseline &amp; Fatigue Flags (2)'!$C$2,'Baseline &amp; Fatigue Flags (2)'!$D$2)</f>
        <v>-17.19020087177644</v>
      </c>
      <c r="C19" s="8">
        <f>STANDARDIZE(Table2[[#This Row],[Eccentric Duration (s)]],'Baseline &amp; Fatigue Flags (2)'!$C$3,'Baseline &amp; Fatigue Flags (2)'!$D$3)*-1</f>
        <v>19.451736681088015</v>
      </c>
      <c r="D19" s="8">
        <f>STANDARDIZE(Table2[[#This Row],[Countermovement Depth (cm) ]],'Baseline &amp; Fatigue Flags (2)'!$C$4,'Baseline &amp; Fatigue Flags (2)'!$D$4)</f>
        <v>-13.046070460704588</v>
      </c>
      <c r="E19" s="8">
        <f>STANDARDIZE(Table2[[#This Row],[Relative Peak Power (W/Kg)]],'Baseline &amp; Fatigue Flags (2)'!$C$5,'Baseline &amp; Fatigue Flags (2)'!$D$5)</f>
        <v>-24.123512802590323</v>
      </c>
      <c r="F19" s="8">
        <f>STANDARDIZE(Table2[[#This Row],[Jump Height (cm)]],'Baseline &amp; Fatigue Flags (2)'!$C$6,'Baseline &amp; Fatigue Flags (2)'!$D$6)</f>
        <v>-14.72639051282645</v>
      </c>
      <c r="G19" s="8">
        <f>STANDARDIZE(Table2[[#This Row],[Force @ 0 Velcotiy ]],'Baseline &amp; Fatigue Flags (2)'!$C$7,'Baseline &amp; Fatigue Flags (2)'!$D$7)</f>
        <v>-31.750735326397077</v>
      </c>
      <c r="H19" s="8">
        <f>AVERAGE(Table35[[#This Row],[FT:CT]:[Force @ 0 Velocity ]])</f>
        <v>-13.56419554886781</v>
      </c>
    </row>
    <row r="20" spans="1:8" x14ac:dyDescent="0.2">
      <c r="A20" s="7">
        <v>45817</v>
      </c>
      <c r="B20" s="8">
        <f>STANDARDIZE(Table2[[#This Row],[FT:CT]],'Baseline &amp; Fatigue Flags (2)'!$C$2,'Baseline &amp; Fatigue Flags (2)'!$D$2)</f>
        <v>-17.19020087177644</v>
      </c>
      <c r="C20" s="8">
        <f>STANDARDIZE(Table2[[#This Row],[Eccentric Duration (s)]],'Baseline &amp; Fatigue Flags (2)'!$C$3,'Baseline &amp; Fatigue Flags (2)'!$D$3)*-1</f>
        <v>19.451736681088015</v>
      </c>
      <c r="D20" s="8">
        <f>STANDARDIZE(Table2[[#This Row],[Countermovement Depth (cm) ]],'Baseline &amp; Fatigue Flags (2)'!$C$4,'Baseline &amp; Fatigue Flags (2)'!$D$4)</f>
        <v>-13.046070460704588</v>
      </c>
      <c r="E20" s="8">
        <f>STANDARDIZE(Table2[[#This Row],[Relative Peak Power (W/Kg)]],'Baseline &amp; Fatigue Flags (2)'!$C$5,'Baseline &amp; Fatigue Flags (2)'!$D$5)</f>
        <v>-24.123512802590323</v>
      </c>
      <c r="F20" s="8">
        <f>STANDARDIZE(Table2[[#This Row],[Jump Height (cm)]],'Baseline &amp; Fatigue Flags (2)'!$C$6,'Baseline &amp; Fatigue Flags (2)'!$D$6)</f>
        <v>-14.72639051282645</v>
      </c>
      <c r="G20" s="8">
        <f>STANDARDIZE(Table2[[#This Row],[Force @ 0 Velcotiy ]],'Baseline &amp; Fatigue Flags (2)'!$C$7,'Baseline &amp; Fatigue Flags (2)'!$D$7)</f>
        <v>-31.750735326397077</v>
      </c>
      <c r="H20" s="8">
        <f>AVERAGE(Table35[[#This Row],[FT:CT]:[Force @ 0 Velocity ]])</f>
        <v>-13.56419554886781</v>
      </c>
    </row>
    <row r="21" spans="1:8" x14ac:dyDescent="0.2">
      <c r="A21" s="7">
        <v>45818</v>
      </c>
      <c r="B21" s="8">
        <f>STANDARDIZE(Table2[[#This Row],[FT:CT]],'Baseline &amp; Fatigue Flags (2)'!$C$2,'Baseline &amp; Fatigue Flags (2)'!$D$2)</f>
        <v>-17.19020087177644</v>
      </c>
      <c r="C21" s="8">
        <f>STANDARDIZE(Table2[[#This Row],[Eccentric Duration (s)]],'Baseline &amp; Fatigue Flags (2)'!$C$3,'Baseline &amp; Fatigue Flags (2)'!$D$3)*-1</f>
        <v>19.451736681088015</v>
      </c>
      <c r="D21" s="8">
        <f>STANDARDIZE(Table2[[#This Row],[Countermovement Depth (cm) ]],'Baseline &amp; Fatigue Flags (2)'!$C$4,'Baseline &amp; Fatigue Flags (2)'!$D$4)</f>
        <v>-13.046070460704588</v>
      </c>
      <c r="E21" s="8">
        <f>STANDARDIZE(Table2[[#This Row],[Relative Peak Power (W/Kg)]],'Baseline &amp; Fatigue Flags (2)'!$C$5,'Baseline &amp; Fatigue Flags (2)'!$D$5)</f>
        <v>-24.123512802590323</v>
      </c>
      <c r="F21" s="8">
        <f>STANDARDIZE(Table2[[#This Row],[Jump Height (cm)]],'Baseline &amp; Fatigue Flags (2)'!$C$6,'Baseline &amp; Fatigue Flags (2)'!$D$6)</f>
        <v>-14.72639051282645</v>
      </c>
      <c r="G21" s="8">
        <f>STANDARDIZE(Table2[[#This Row],[Force @ 0 Velcotiy ]],'Baseline &amp; Fatigue Flags (2)'!$C$7,'Baseline &amp; Fatigue Flags (2)'!$D$7)</f>
        <v>-31.750735326397077</v>
      </c>
      <c r="H21" s="8">
        <f>AVERAGE(Table35[[#This Row],[FT:CT]:[Force @ 0 Velocity ]])</f>
        <v>-13.56419554886781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RowColHeaders="0" zoomScaleNormal="100" workbookViewId="0">
      <selection activeCell="D2" sqref="D2"/>
    </sheetView>
  </sheetViews>
  <sheetFormatPr baseColWidth="10" defaultColWidth="17.33203125" defaultRowHeight="15" customHeight="1" x14ac:dyDescent="0.2"/>
  <cols>
    <col min="3" max="3" width="19.83203125" customWidth="1"/>
    <col min="4" max="4" width="24.6640625" customWidth="1"/>
    <col min="5" max="5" width="23.33203125" customWidth="1"/>
    <col min="6" max="6" width="24.1640625" customWidth="1"/>
  </cols>
  <sheetData>
    <row r="1" spans="1:7" x14ac:dyDescent="0.2">
      <c r="A1" s="2" t="s">
        <v>1</v>
      </c>
      <c r="B1" s="3" t="s">
        <v>2</v>
      </c>
      <c r="C1" s="3" t="s">
        <v>3</v>
      </c>
      <c r="D1" s="3" t="s">
        <v>11</v>
      </c>
      <c r="E1" s="3" t="s">
        <v>12</v>
      </c>
      <c r="F1" s="3" t="s">
        <v>13</v>
      </c>
      <c r="G1" s="3" t="s">
        <v>14</v>
      </c>
    </row>
    <row r="2" spans="1:7" x14ac:dyDescent="0.2">
      <c r="A2" s="7">
        <v>45809</v>
      </c>
      <c r="B2">
        <f>Table2[[#This Row],[FT:CT]]-'Baseline &amp; Fatigue Flags (2)'!$C$2</f>
        <v>-3.0000000000000027E-2</v>
      </c>
      <c r="C2">
        <f>Table2[[#This Row],[Eccentric Duration (s)]]-'Baseline &amp; Fatigue Flags (2)'!$C$3</f>
        <v>-10.777777777777999</v>
      </c>
      <c r="D2" s="9">
        <f>Table2[[#This Row],[Countermovement Depth (cm) ]]-'Baseline &amp; Fatigue Flags (2)'!$C$4</f>
        <v>-0.74444444444440094</v>
      </c>
      <c r="E2" s="9">
        <f>Table2[[#This Row],[Relative Peak Power (W/Kg)]]-'Baseline &amp; Fatigue Flags (2)'!$C$5</f>
        <v>-1.9777777777778027</v>
      </c>
      <c r="F2" s="9">
        <f>Table2[[#This Row],[Jump Height (cm)]]-'Baseline &amp; Fatigue Flags (2)'!$C$6</f>
        <v>-2.7777777777777999</v>
      </c>
      <c r="G2">
        <f>Table2[[#This Row],[Force @ 0 Velcotiy ]]-'Baseline &amp; Fatigue Flags (2)'!$C$7</f>
        <v>-67.222222222219898</v>
      </c>
    </row>
    <row r="3" spans="1:7" x14ac:dyDescent="0.2">
      <c r="A3" s="7">
        <v>45810</v>
      </c>
      <c r="B3">
        <f>Table2[[#This Row],[FT:CT]]-'Baseline &amp; Fatigue Flags (2)'!$C$2</f>
        <v>-0.64</v>
      </c>
      <c r="C3">
        <f>Table2[[#This Row],[Eccentric Duration (s)]]-'Baseline &amp; Fatigue Flags (2)'!$C$3</f>
        <v>-430.777777777778</v>
      </c>
      <c r="D3" s="9">
        <f>Table2[[#This Row],[Countermovement Depth (cm) ]]-'Baseline &amp; Fatigue Flags (2)'!$C$4</f>
        <v>-26.744444444444401</v>
      </c>
      <c r="E3" s="9">
        <f>Table2[[#This Row],[Relative Peak Power (W/Kg)]]-'Baseline &amp; Fatigue Flags (2)'!$C$5</f>
        <v>-36.877777777777801</v>
      </c>
      <c r="F3" s="9">
        <f>Table2[[#This Row],[Jump Height (cm)]]-'Baseline &amp; Fatigue Flags (2)'!$C$6</f>
        <v>-21.577777777777801</v>
      </c>
      <c r="G3">
        <f>Table2[[#This Row],[Force @ 0 Velcotiy ]]-'Baseline &amp; Fatigue Flags (2)'!$C$7</f>
        <v>-1607.2222222222199</v>
      </c>
    </row>
    <row r="4" spans="1:7" x14ac:dyDescent="0.2">
      <c r="A4" s="7">
        <v>45811</v>
      </c>
      <c r="B4">
        <f>Table2[[#This Row],[FT:CT]]-'Baseline &amp; Fatigue Flags (2)'!$C$2</f>
        <v>-0.64</v>
      </c>
      <c r="C4">
        <f>Table2[[#This Row],[Eccentric Duration (s)]]-'Baseline &amp; Fatigue Flags (2)'!$C$3</f>
        <v>-430.777777777778</v>
      </c>
      <c r="D4" s="9">
        <f>Table2[[#This Row],[Countermovement Depth (cm) ]]-'Baseline &amp; Fatigue Flags (2)'!$C$4</f>
        <v>-26.744444444444401</v>
      </c>
      <c r="E4" s="9">
        <f>Table2[[#This Row],[Relative Peak Power (W/Kg)]]-'Baseline &amp; Fatigue Flags (2)'!$C$5</f>
        <v>-36.877777777777801</v>
      </c>
      <c r="F4" s="9">
        <f>Table2[[#This Row],[Jump Height (cm)]]-'Baseline &amp; Fatigue Flags (2)'!$C$6</f>
        <v>-21.577777777777801</v>
      </c>
      <c r="G4">
        <f>Table2[[#This Row],[Force @ 0 Velcotiy ]]-'Baseline &amp; Fatigue Flags (2)'!$C$7</f>
        <v>-1607.2222222222199</v>
      </c>
    </row>
    <row r="5" spans="1:7" x14ac:dyDescent="0.2">
      <c r="A5" s="7">
        <v>45812</v>
      </c>
      <c r="B5">
        <f>Table2[[#This Row],[FT:CT]]-'Baseline &amp; Fatigue Flags (2)'!$C$2</f>
        <v>-0.64</v>
      </c>
      <c r="C5">
        <f>Table2[[#This Row],[Eccentric Duration (s)]]-'Baseline &amp; Fatigue Flags (2)'!$C$3</f>
        <v>-430.777777777778</v>
      </c>
      <c r="D5" s="9">
        <f>Table2[[#This Row],[Countermovement Depth (cm) ]]-'Baseline &amp; Fatigue Flags (2)'!$C$4</f>
        <v>-26.744444444444401</v>
      </c>
      <c r="E5" s="9">
        <f>Table2[[#This Row],[Relative Peak Power (W/Kg)]]-'Baseline &amp; Fatigue Flags (2)'!$C$5</f>
        <v>-36.877777777777801</v>
      </c>
      <c r="F5" s="9">
        <f>Table2[[#This Row],[Jump Height (cm)]]-'Baseline &amp; Fatigue Flags (2)'!$C$6</f>
        <v>-21.577777777777801</v>
      </c>
      <c r="G5">
        <f>Table2[[#This Row],[Force @ 0 Velcotiy ]]-'Baseline &amp; Fatigue Flags (2)'!$C$7</f>
        <v>-1607.2222222222199</v>
      </c>
    </row>
    <row r="6" spans="1:7" x14ac:dyDescent="0.2">
      <c r="A6" s="7">
        <v>45813</v>
      </c>
      <c r="B6">
        <f>Table2[[#This Row],[FT:CT]]-'Baseline &amp; Fatigue Flags (2)'!$C$2</f>
        <v>-0.64</v>
      </c>
      <c r="C6">
        <f>Table2[[#This Row],[Eccentric Duration (s)]]-'Baseline &amp; Fatigue Flags (2)'!$C$3</f>
        <v>-430.777777777778</v>
      </c>
      <c r="D6" s="9">
        <f>Table2[[#This Row],[Countermovement Depth (cm) ]]-'Baseline &amp; Fatigue Flags (2)'!$C$4</f>
        <v>-26.744444444444401</v>
      </c>
      <c r="E6" s="9">
        <f>Table2[[#This Row],[Relative Peak Power (W/Kg)]]-'Baseline &amp; Fatigue Flags (2)'!$C$5</f>
        <v>-36.877777777777801</v>
      </c>
      <c r="F6" s="9">
        <f>Table2[[#This Row],[Jump Height (cm)]]-'Baseline &amp; Fatigue Flags (2)'!$C$6</f>
        <v>-21.577777777777801</v>
      </c>
      <c r="G6">
        <f>Table2[[#This Row],[Force @ 0 Velcotiy ]]-'Baseline &amp; Fatigue Flags (2)'!$C$7</f>
        <v>-1607.2222222222199</v>
      </c>
    </row>
    <row r="7" spans="1:7" x14ac:dyDescent="0.2">
      <c r="A7" s="7">
        <v>45814</v>
      </c>
      <c r="B7">
        <f>Table2[[#This Row],[FT:CT]]-'Baseline &amp; Fatigue Flags (2)'!$C$2</f>
        <v>-0.64</v>
      </c>
      <c r="C7">
        <f>Table2[[#This Row],[Eccentric Duration (s)]]-'Baseline &amp; Fatigue Flags (2)'!$C$3</f>
        <v>-430.777777777778</v>
      </c>
      <c r="D7" s="9">
        <f>Table2[[#This Row],[Countermovement Depth (cm) ]]-'Baseline &amp; Fatigue Flags (2)'!$C$4</f>
        <v>-26.744444444444401</v>
      </c>
      <c r="E7" s="9">
        <f>Table2[[#This Row],[Relative Peak Power (W/Kg)]]-'Baseline &amp; Fatigue Flags (2)'!$C$5</f>
        <v>-36.877777777777801</v>
      </c>
      <c r="F7" s="9">
        <f>Table2[[#This Row],[Jump Height (cm)]]-'Baseline &amp; Fatigue Flags (2)'!$C$6</f>
        <v>-21.577777777777801</v>
      </c>
      <c r="G7">
        <f>Table2[[#This Row],[Force @ 0 Velcotiy ]]-'Baseline &amp; Fatigue Flags (2)'!$C$7</f>
        <v>-1607.2222222222199</v>
      </c>
    </row>
    <row r="8" spans="1:7" x14ac:dyDescent="0.2">
      <c r="A8" s="7">
        <v>45815</v>
      </c>
      <c r="B8">
        <f>Table2[[#This Row],[FT:CT]]-'Baseline &amp; Fatigue Flags (2)'!$C$2</f>
        <v>-0.64</v>
      </c>
      <c r="C8">
        <f>Table2[[#This Row],[Eccentric Duration (s)]]-'Baseline &amp; Fatigue Flags (2)'!$C$3</f>
        <v>-430.777777777778</v>
      </c>
      <c r="D8" s="9">
        <f>Table2[[#This Row],[Countermovement Depth (cm) ]]-'Baseline &amp; Fatigue Flags (2)'!$C$4</f>
        <v>-26.744444444444401</v>
      </c>
      <c r="E8" s="9">
        <f>Table2[[#This Row],[Relative Peak Power (W/Kg)]]-'Baseline &amp; Fatigue Flags (2)'!$C$5</f>
        <v>-36.877777777777801</v>
      </c>
      <c r="F8" s="9">
        <f>Table2[[#This Row],[Jump Height (cm)]]-'Baseline &amp; Fatigue Flags (2)'!$C$6</f>
        <v>-21.577777777777801</v>
      </c>
      <c r="G8">
        <f>Table2[[#This Row],[Force @ 0 Velcotiy ]]-'Baseline &amp; Fatigue Flags (2)'!$C$7</f>
        <v>-1607.2222222222199</v>
      </c>
    </row>
    <row r="9" spans="1:7" x14ac:dyDescent="0.2">
      <c r="A9" s="7">
        <v>45816</v>
      </c>
      <c r="B9">
        <f>Table2[[#This Row],[FT:CT]]-'Baseline &amp; Fatigue Flags (2)'!$C$2</f>
        <v>-0.64</v>
      </c>
      <c r="C9">
        <f>Table2[[#This Row],[Eccentric Duration (s)]]-'Baseline &amp; Fatigue Flags (2)'!$C$3</f>
        <v>-430.777777777778</v>
      </c>
      <c r="D9" s="9">
        <f>Table2[[#This Row],[Countermovement Depth (cm) ]]-'Baseline &amp; Fatigue Flags (2)'!$C$4</f>
        <v>-26.744444444444401</v>
      </c>
      <c r="E9" s="9">
        <f>Table2[[#This Row],[Relative Peak Power (W/Kg)]]-'Baseline &amp; Fatigue Flags (2)'!$C$5</f>
        <v>-36.877777777777801</v>
      </c>
      <c r="F9" s="9">
        <f>Table2[[#This Row],[Jump Height (cm)]]-'Baseline &amp; Fatigue Flags (2)'!$C$6</f>
        <v>-21.577777777777801</v>
      </c>
      <c r="G9">
        <f>Table2[[#This Row],[Force @ 0 Velcotiy ]]-'Baseline &amp; Fatigue Flags (2)'!$C$7</f>
        <v>-1607.2222222222199</v>
      </c>
    </row>
    <row r="10" spans="1:7" x14ac:dyDescent="0.2">
      <c r="A10" s="7">
        <v>45817</v>
      </c>
      <c r="B10">
        <f>Table2[[#This Row],[FT:CT]]-'Baseline &amp; Fatigue Flags (2)'!$C$2</f>
        <v>-0.64</v>
      </c>
      <c r="C10">
        <f>Table2[[#This Row],[Eccentric Duration (s)]]-'Baseline &amp; Fatigue Flags (2)'!$C$3</f>
        <v>-430.777777777778</v>
      </c>
      <c r="D10" s="9">
        <f>Table2[[#This Row],[Countermovement Depth (cm) ]]-'Baseline &amp; Fatigue Flags (2)'!$C$4</f>
        <v>-26.744444444444401</v>
      </c>
      <c r="E10" s="9">
        <f>Table2[[#This Row],[Relative Peak Power (W/Kg)]]-'Baseline &amp; Fatigue Flags (2)'!$C$5</f>
        <v>-36.877777777777801</v>
      </c>
      <c r="F10" s="9">
        <f>Table2[[#This Row],[Jump Height (cm)]]-'Baseline &amp; Fatigue Flags (2)'!$C$6</f>
        <v>-21.577777777777801</v>
      </c>
      <c r="G10">
        <f>Table2[[#This Row],[Force @ 0 Velcotiy ]]-'Baseline &amp; Fatigue Flags (2)'!$C$7</f>
        <v>-1607.2222222222199</v>
      </c>
    </row>
    <row r="11" spans="1:7" x14ac:dyDescent="0.2">
      <c r="A11" s="7">
        <v>45818</v>
      </c>
      <c r="B11">
        <f>Table2[[#This Row],[FT:CT]]-'Baseline &amp; Fatigue Flags (2)'!$C$2</f>
        <v>-0.64</v>
      </c>
      <c r="C11">
        <f>Table2[[#This Row],[Eccentric Duration (s)]]-'Baseline &amp; Fatigue Flags (2)'!$C$3</f>
        <v>-430.777777777778</v>
      </c>
      <c r="D11" s="9">
        <f>Table2[[#This Row],[Countermovement Depth (cm) ]]-'Baseline &amp; Fatigue Flags (2)'!$C$4</f>
        <v>-26.744444444444401</v>
      </c>
      <c r="E11" s="9">
        <f>Table2[[#This Row],[Relative Peak Power (W/Kg)]]-'Baseline &amp; Fatigue Flags (2)'!$C$5</f>
        <v>-36.877777777777801</v>
      </c>
      <c r="F11" s="9">
        <f>Table2[[#This Row],[Jump Height (cm)]]-'Baseline &amp; Fatigue Flags (2)'!$C$6</f>
        <v>-21.577777777777801</v>
      </c>
      <c r="G11">
        <f>Table2[[#This Row],[Force @ 0 Velcotiy ]]-'Baseline &amp; Fatigue Flags (2)'!$C$7</f>
        <v>-1607.2222222222199</v>
      </c>
    </row>
    <row r="12" spans="1:7" x14ac:dyDescent="0.2">
      <c r="A12" s="7">
        <v>45809</v>
      </c>
      <c r="B12">
        <f>Table2[[#This Row],[FT:CT]]-'Baseline &amp; Fatigue Flags (2)'!$C$2</f>
        <v>-0.64</v>
      </c>
      <c r="C12">
        <f>Table2[[#This Row],[Eccentric Duration (s)]]-'Baseline &amp; Fatigue Flags (2)'!$C$3</f>
        <v>-430.777777777778</v>
      </c>
      <c r="D12" s="9">
        <f>Table2[[#This Row],[Countermovement Depth (cm) ]]-'Baseline &amp; Fatigue Flags (2)'!$C$4</f>
        <v>-26.744444444444401</v>
      </c>
      <c r="E12" s="9">
        <f>Table2[[#This Row],[Relative Peak Power (W/Kg)]]-'Baseline &amp; Fatigue Flags (2)'!$C$5</f>
        <v>-36.877777777777801</v>
      </c>
      <c r="F12" s="9">
        <f>Table2[[#This Row],[Jump Height (cm)]]-'Baseline &amp; Fatigue Flags (2)'!$C$6</f>
        <v>-21.577777777777801</v>
      </c>
      <c r="G12">
        <f>Table2[[#This Row],[Force @ 0 Velcotiy ]]-'Baseline &amp; Fatigue Flags (2)'!$C$7</f>
        <v>-1607.2222222222199</v>
      </c>
    </row>
    <row r="13" spans="1:7" x14ac:dyDescent="0.2">
      <c r="A13" s="7">
        <v>45810</v>
      </c>
      <c r="B13">
        <f>Table2[[#This Row],[FT:CT]]-'Baseline &amp; Fatigue Flags (2)'!$C$2</f>
        <v>-0.64</v>
      </c>
      <c r="C13">
        <f>Table2[[#This Row],[Eccentric Duration (s)]]-'Baseline &amp; Fatigue Flags (2)'!$C$3</f>
        <v>-430.777777777778</v>
      </c>
      <c r="D13" s="9">
        <f>Table2[[#This Row],[Countermovement Depth (cm) ]]-'Baseline &amp; Fatigue Flags (2)'!$C$4</f>
        <v>-26.744444444444401</v>
      </c>
      <c r="E13" s="9">
        <f>Table2[[#This Row],[Relative Peak Power (W/Kg)]]-'Baseline &amp; Fatigue Flags (2)'!$C$5</f>
        <v>-36.877777777777801</v>
      </c>
      <c r="F13" s="9">
        <f>Table2[[#This Row],[Jump Height (cm)]]-'Baseline &amp; Fatigue Flags (2)'!$C$6</f>
        <v>-21.577777777777801</v>
      </c>
      <c r="G13">
        <f>Table2[[#This Row],[Force @ 0 Velcotiy ]]-'Baseline &amp; Fatigue Flags (2)'!$C$7</f>
        <v>-1607.2222222222199</v>
      </c>
    </row>
    <row r="14" spans="1:7" x14ac:dyDescent="0.2">
      <c r="A14" s="7">
        <v>45811</v>
      </c>
      <c r="B14">
        <f>Table2[[#This Row],[FT:CT]]-'Baseline &amp; Fatigue Flags (2)'!$C$2</f>
        <v>-0.64</v>
      </c>
      <c r="C14">
        <f>Table2[[#This Row],[Eccentric Duration (s)]]-'Baseline &amp; Fatigue Flags (2)'!$C$3</f>
        <v>-430.777777777778</v>
      </c>
      <c r="D14" s="9">
        <f>Table2[[#This Row],[Countermovement Depth (cm) ]]-'Baseline &amp; Fatigue Flags (2)'!$C$4</f>
        <v>-26.744444444444401</v>
      </c>
      <c r="E14" s="9">
        <f>Table2[[#This Row],[Relative Peak Power (W/Kg)]]-'Baseline &amp; Fatigue Flags (2)'!$C$5</f>
        <v>-36.877777777777801</v>
      </c>
      <c r="F14" s="9">
        <f>Table2[[#This Row],[Jump Height (cm)]]-'Baseline &amp; Fatigue Flags (2)'!$C$6</f>
        <v>-21.577777777777801</v>
      </c>
      <c r="G14">
        <f>Table2[[#This Row],[Force @ 0 Velcotiy ]]-'Baseline &amp; Fatigue Flags (2)'!$C$7</f>
        <v>-1607.2222222222199</v>
      </c>
    </row>
    <row r="15" spans="1:7" x14ac:dyDescent="0.2">
      <c r="A15" s="7">
        <v>45812</v>
      </c>
      <c r="B15">
        <f>Table2[[#This Row],[FT:CT]]-'Baseline &amp; Fatigue Flags (2)'!$C$2</f>
        <v>-0.64</v>
      </c>
      <c r="C15">
        <f>Table2[[#This Row],[Eccentric Duration (s)]]-'Baseline &amp; Fatigue Flags (2)'!$C$3</f>
        <v>-430.777777777778</v>
      </c>
      <c r="D15" s="9">
        <f>Table2[[#This Row],[Countermovement Depth (cm) ]]-'Baseline &amp; Fatigue Flags (2)'!$C$4</f>
        <v>-26.744444444444401</v>
      </c>
      <c r="E15" s="9">
        <f>Table2[[#This Row],[Relative Peak Power (W/Kg)]]-'Baseline &amp; Fatigue Flags (2)'!$C$5</f>
        <v>-36.877777777777801</v>
      </c>
      <c r="F15" s="9">
        <f>Table2[[#This Row],[Jump Height (cm)]]-'Baseline &amp; Fatigue Flags (2)'!$C$6</f>
        <v>-21.577777777777801</v>
      </c>
      <c r="G15">
        <f>Table2[[#This Row],[Force @ 0 Velcotiy ]]-'Baseline &amp; Fatigue Flags (2)'!$C$7</f>
        <v>-1607.2222222222199</v>
      </c>
    </row>
    <row r="16" spans="1:7" x14ac:dyDescent="0.2">
      <c r="A16" s="7">
        <v>45813</v>
      </c>
      <c r="B16">
        <f>Table2[[#This Row],[FT:CT]]-'Baseline &amp; Fatigue Flags (2)'!$C$2</f>
        <v>-0.64</v>
      </c>
      <c r="C16">
        <f>Table2[[#This Row],[Eccentric Duration (s)]]-'Baseline &amp; Fatigue Flags (2)'!$C$3</f>
        <v>-430.777777777778</v>
      </c>
      <c r="D16" s="9">
        <f>Table2[[#This Row],[Countermovement Depth (cm) ]]-'Baseline &amp; Fatigue Flags (2)'!$C$4</f>
        <v>-26.744444444444401</v>
      </c>
      <c r="E16" s="9">
        <f>Table2[[#This Row],[Relative Peak Power (W/Kg)]]-'Baseline &amp; Fatigue Flags (2)'!$C$5</f>
        <v>-36.877777777777801</v>
      </c>
      <c r="F16" s="9">
        <f>Table2[[#This Row],[Jump Height (cm)]]-'Baseline &amp; Fatigue Flags (2)'!$C$6</f>
        <v>-21.577777777777801</v>
      </c>
      <c r="G16">
        <f>Table2[[#This Row],[Force @ 0 Velcotiy ]]-'Baseline &amp; Fatigue Flags (2)'!$C$7</f>
        <v>-1607.2222222222199</v>
      </c>
    </row>
    <row r="17" spans="1:7" x14ac:dyDescent="0.2">
      <c r="A17" s="7">
        <v>45814</v>
      </c>
      <c r="B17">
        <f>Table2[[#This Row],[FT:CT]]-'Baseline &amp; Fatigue Flags (2)'!$C$2</f>
        <v>-0.64</v>
      </c>
      <c r="C17">
        <f>Table2[[#This Row],[Eccentric Duration (s)]]-'Baseline &amp; Fatigue Flags (2)'!$C$3</f>
        <v>-430.777777777778</v>
      </c>
      <c r="D17" s="9">
        <f>Table2[[#This Row],[Countermovement Depth (cm) ]]-'Baseline &amp; Fatigue Flags (2)'!$C$4</f>
        <v>-26.744444444444401</v>
      </c>
      <c r="E17" s="9">
        <f>Table2[[#This Row],[Relative Peak Power (W/Kg)]]-'Baseline &amp; Fatigue Flags (2)'!$C$5</f>
        <v>-36.877777777777801</v>
      </c>
      <c r="F17" s="9">
        <f>Table2[[#This Row],[Jump Height (cm)]]-'Baseline &amp; Fatigue Flags (2)'!$C$6</f>
        <v>-21.577777777777801</v>
      </c>
      <c r="G17">
        <f>Table2[[#This Row],[Force @ 0 Velcotiy ]]-'Baseline &amp; Fatigue Flags (2)'!$C$7</f>
        <v>-1607.2222222222199</v>
      </c>
    </row>
    <row r="18" spans="1:7" x14ac:dyDescent="0.2">
      <c r="A18" s="7">
        <v>45815</v>
      </c>
      <c r="B18">
        <f>Table2[[#This Row],[FT:CT]]-'Baseline &amp; Fatigue Flags (2)'!$C$2</f>
        <v>-0.64</v>
      </c>
      <c r="C18">
        <f>Table2[[#This Row],[Eccentric Duration (s)]]-'Baseline &amp; Fatigue Flags (2)'!$C$3</f>
        <v>-430.777777777778</v>
      </c>
      <c r="D18" s="9">
        <f>Table2[[#This Row],[Countermovement Depth (cm) ]]-'Baseline &amp; Fatigue Flags (2)'!$C$4</f>
        <v>-26.744444444444401</v>
      </c>
      <c r="E18" s="9">
        <f>Table2[[#This Row],[Relative Peak Power (W/Kg)]]-'Baseline &amp; Fatigue Flags (2)'!$C$5</f>
        <v>-36.877777777777801</v>
      </c>
      <c r="F18" s="9">
        <f>Table2[[#This Row],[Jump Height (cm)]]-'Baseline &amp; Fatigue Flags (2)'!$C$6</f>
        <v>-21.577777777777801</v>
      </c>
      <c r="G18">
        <f>Table2[[#This Row],[Force @ 0 Velcotiy ]]-'Baseline &amp; Fatigue Flags (2)'!$C$7</f>
        <v>-1607.2222222222199</v>
      </c>
    </row>
    <row r="19" spans="1:7" x14ac:dyDescent="0.2">
      <c r="A19" s="7">
        <v>45816</v>
      </c>
      <c r="B19">
        <f>Table2[[#This Row],[FT:CT]]-'Baseline &amp; Fatigue Flags (2)'!$C$2</f>
        <v>-0.64</v>
      </c>
      <c r="C19">
        <f>Table2[[#This Row],[Eccentric Duration (s)]]-'Baseline &amp; Fatigue Flags (2)'!$C$3</f>
        <v>-430.777777777778</v>
      </c>
      <c r="D19" s="9">
        <f>Table2[[#This Row],[Countermovement Depth (cm) ]]-'Baseline &amp; Fatigue Flags (2)'!$C$4</f>
        <v>-26.744444444444401</v>
      </c>
      <c r="E19" s="9">
        <f>Table2[[#This Row],[Relative Peak Power (W/Kg)]]-'Baseline &amp; Fatigue Flags (2)'!$C$5</f>
        <v>-36.877777777777801</v>
      </c>
      <c r="F19" s="9">
        <f>Table2[[#This Row],[Jump Height (cm)]]-'Baseline &amp; Fatigue Flags (2)'!$C$6</f>
        <v>-21.577777777777801</v>
      </c>
      <c r="G19">
        <f>Table2[[#This Row],[Force @ 0 Velcotiy ]]-'Baseline &amp; Fatigue Flags (2)'!$C$7</f>
        <v>-1607.2222222222199</v>
      </c>
    </row>
    <row r="20" spans="1:7" x14ac:dyDescent="0.2">
      <c r="A20" s="7">
        <v>45817</v>
      </c>
      <c r="B20">
        <f>Table2[[#This Row],[FT:CT]]-'Baseline &amp; Fatigue Flags (2)'!$C$2</f>
        <v>-0.64</v>
      </c>
      <c r="C20">
        <f>Table2[[#This Row],[Eccentric Duration (s)]]-'Baseline &amp; Fatigue Flags (2)'!$C$3</f>
        <v>-430.777777777778</v>
      </c>
      <c r="D20" s="9">
        <f>Table2[[#This Row],[Countermovement Depth (cm) ]]-'Baseline &amp; Fatigue Flags (2)'!$C$4</f>
        <v>-26.744444444444401</v>
      </c>
      <c r="E20" s="9">
        <f>Table2[[#This Row],[Relative Peak Power (W/Kg)]]-'Baseline &amp; Fatigue Flags (2)'!$C$5</f>
        <v>-36.877777777777801</v>
      </c>
      <c r="F20" s="9">
        <f>Table2[[#This Row],[Jump Height (cm)]]-'Baseline &amp; Fatigue Flags (2)'!$C$6</f>
        <v>-21.577777777777801</v>
      </c>
      <c r="G20">
        <f>Table2[[#This Row],[Force @ 0 Velcotiy ]]-'Baseline &amp; Fatigue Flags (2)'!$C$7</f>
        <v>-1607.2222222222199</v>
      </c>
    </row>
    <row r="21" spans="1:7" x14ac:dyDescent="0.2">
      <c r="A21" s="7">
        <v>45818</v>
      </c>
      <c r="B21">
        <f>Table2[[#This Row],[FT:CT]]-'Baseline &amp; Fatigue Flags (2)'!$C$2</f>
        <v>-0.64</v>
      </c>
      <c r="C21">
        <f>Table2[[#This Row],[Eccentric Duration (s)]]-'Baseline &amp; Fatigue Flags (2)'!$C$3</f>
        <v>-430.777777777778</v>
      </c>
      <c r="D21" s="9">
        <f>Table2[[#This Row],[Countermovement Depth (cm) ]]-'Baseline &amp; Fatigue Flags (2)'!$C$4</f>
        <v>-26.744444444444401</v>
      </c>
      <c r="E21" s="9">
        <f>Table2[[#This Row],[Relative Peak Power (W/Kg)]]-'Baseline &amp; Fatigue Flags (2)'!$C$5</f>
        <v>-36.877777777777801</v>
      </c>
      <c r="F21" s="9">
        <f>Table2[[#This Row],[Jump Height (cm)]]-'Baseline &amp; Fatigue Flags (2)'!$C$6</f>
        <v>-21.577777777777801</v>
      </c>
      <c r="G21">
        <f>Table2[[#This Row],[Force @ 0 Velcotiy ]]-'Baseline &amp; Fatigue Flags (2)'!$C$7</f>
        <v>-1607.2222222222199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showRowColHeaders="0" zoomScale="113" zoomScaleNormal="113" workbookViewId="0">
      <selection activeCell="C15" sqref="C15"/>
    </sheetView>
  </sheetViews>
  <sheetFormatPr baseColWidth="10" defaultColWidth="10.6640625" defaultRowHeight="15" customHeight="1" x14ac:dyDescent="0.2"/>
  <cols>
    <col min="4" max="4" width="17.6640625" customWidth="1"/>
  </cols>
  <sheetData>
    <row r="1" spans="1:15" x14ac:dyDescent="0.2">
      <c r="A1" s="19" t="s">
        <v>8</v>
      </c>
      <c r="B1" s="10" t="s">
        <v>2</v>
      </c>
      <c r="E1" s="11" t="s">
        <v>3</v>
      </c>
      <c r="G1" s="11" t="s">
        <v>16</v>
      </c>
      <c r="J1" s="11" t="s">
        <v>12</v>
      </c>
      <c r="L1" s="11" t="s">
        <v>6</v>
      </c>
      <c r="N1" s="11" t="s">
        <v>14</v>
      </c>
    </row>
    <row r="2" spans="1:15" x14ac:dyDescent="0.2">
      <c r="A2" s="19"/>
      <c r="B2" s="9">
        <v>0.63</v>
      </c>
      <c r="C2" s="9">
        <f>STDEV(B2:B10)</f>
        <v>3.7230513172814457E-2</v>
      </c>
      <c r="E2">
        <v>451</v>
      </c>
      <c r="F2" s="9">
        <f>STDEV(E2:E10)</f>
        <v>22.145980322497454</v>
      </c>
      <c r="G2">
        <v>28.1</v>
      </c>
      <c r="H2" s="9">
        <f>STDEV(G2:G10)</f>
        <v>2.0549398477273675</v>
      </c>
      <c r="J2">
        <v>36.6</v>
      </c>
      <c r="K2" s="9">
        <f>STDEV(J2:J10)</f>
        <v>1.5287067882509209</v>
      </c>
      <c r="L2">
        <v>22</v>
      </c>
      <c r="M2" s="9">
        <f>STDEV(L2:L10)</f>
        <v>1.4652455236049839</v>
      </c>
      <c r="N2">
        <v>1681</v>
      </c>
      <c r="O2" s="9">
        <f>STDEV(N2:N10)</f>
        <v>50.620593086652434</v>
      </c>
    </row>
    <row r="3" spans="1:15" x14ac:dyDescent="0.2">
      <c r="A3" s="19"/>
      <c r="B3" s="9">
        <v>0.61</v>
      </c>
      <c r="E3">
        <v>432</v>
      </c>
      <c r="G3">
        <v>29.5</v>
      </c>
      <c r="J3">
        <v>35.5</v>
      </c>
      <c r="L3">
        <v>21.8</v>
      </c>
      <c r="N3">
        <v>1629</v>
      </c>
    </row>
    <row r="4" spans="1:15" x14ac:dyDescent="0.2">
      <c r="A4" s="19"/>
      <c r="B4" s="9">
        <v>0.65</v>
      </c>
      <c r="C4" s="9">
        <f>AVERAGE(B2:B10)</f>
        <v>0.64111111111111108</v>
      </c>
      <c r="E4">
        <v>416</v>
      </c>
      <c r="F4" s="9">
        <f>AVERAGE(E2:E10)</f>
        <v>430.77777777777777</v>
      </c>
      <c r="G4">
        <v>26.8</v>
      </c>
      <c r="H4" s="9">
        <f>AVERAGE(G2:G10)</f>
        <v>26.744444444444444</v>
      </c>
      <c r="J4">
        <v>38.700000000000003</v>
      </c>
      <c r="K4" s="9">
        <f>AVERAGE(J2:J10)</f>
        <v>36.87777777777778</v>
      </c>
      <c r="L4">
        <v>24.2</v>
      </c>
      <c r="M4" s="9">
        <f>AVERAGE(L2:L10)</f>
        <v>21.577777777777776</v>
      </c>
      <c r="N4">
        <v>1627</v>
      </c>
      <c r="O4" s="9">
        <f>AVERAGE(N2:N10)</f>
        <v>1607.2222222222222</v>
      </c>
    </row>
    <row r="5" spans="1:15" x14ac:dyDescent="0.2">
      <c r="A5" s="19"/>
      <c r="B5" s="9">
        <v>0.69</v>
      </c>
      <c r="E5">
        <v>398</v>
      </c>
      <c r="G5">
        <v>23.1</v>
      </c>
      <c r="J5">
        <v>38.200000000000003</v>
      </c>
      <c r="L5">
        <v>22.1</v>
      </c>
      <c r="N5">
        <v>1569</v>
      </c>
    </row>
    <row r="6" spans="1:15" x14ac:dyDescent="0.2">
      <c r="A6" s="19"/>
      <c r="B6" s="9">
        <v>0.61</v>
      </c>
      <c r="E6">
        <v>459</v>
      </c>
      <c r="G6">
        <v>27.1</v>
      </c>
      <c r="J6">
        <v>38.6</v>
      </c>
      <c r="L6">
        <v>21.5</v>
      </c>
      <c r="N6">
        <v>1518</v>
      </c>
    </row>
    <row r="7" spans="1:15" x14ac:dyDescent="0.2">
      <c r="A7" s="19"/>
      <c r="B7" s="9">
        <v>0.65</v>
      </c>
      <c r="E7">
        <v>420</v>
      </c>
      <c r="G7">
        <v>27.2</v>
      </c>
      <c r="J7">
        <v>37.700000000000003</v>
      </c>
      <c r="L7">
        <v>22.1</v>
      </c>
      <c r="N7">
        <v>1576</v>
      </c>
    </row>
    <row r="8" spans="1:15" x14ac:dyDescent="0.2">
      <c r="A8" s="19"/>
      <c r="B8" s="9">
        <v>0.66</v>
      </c>
      <c r="E8">
        <v>429</v>
      </c>
      <c r="G8">
        <v>28.5</v>
      </c>
      <c r="J8">
        <v>34.6</v>
      </c>
      <c r="L8">
        <v>19.3</v>
      </c>
      <c r="N8">
        <v>1585</v>
      </c>
    </row>
    <row r="9" spans="1:15" x14ac:dyDescent="0.2">
      <c r="A9" s="19"/>
      <c r="B9" s="9">
        <v>0.69</v>
      </c>
      <c r="E9">
        <v>411</v>
      </c>
      <c r="G9">
        <v>26.4</v>
      </c>
      <c r="J9">
        <v>36.799999999999997</v>
      </c>
      <c r="L9">
        <v>21.7</v>
      </c>
      <c r="N9">
        <v>1664</v>
      </c>
    </row>
    <row r="10" spans="1:15" x14ac:dyDescent="0.2">
      <c r="A10" s="19"/>
      <c r="B10" s="9">
        <v>0.57999999999999996</v>
      </c>
      <c r="E10">
        <v>461</v>
      </c>
      <c r="G10">
        <v>24</v>
      </c>
      <c r="J10">
        <v>35.200000000000003</v>
      </c>
      <c r="L10">
        <v>19.5</v>
      </c>
      <c r="N10">
        <v>1616</v>
      </c>
    </row>
    <row r="13" spans="1:15" x14ac:dyDescent="0.2">
      <c r="A13" s="19" t="s">
        <v>9</v>
      </c>
      <c r="B13" s="9">
        <v>0.8</v>
      </c>
      <c r="E13">
        <v>481</v>
      </c>
      <c r="G13">
        <v>35</v>
      </c>
      <c r="J13">
        <v>54.3</v>
      </c>
      <c r="L13">
        <v>37</v>
      </c>
      <c r="N13">
        <v>1647</v>
      </c>
    </row>
    <row r="14" spans="1:15" x14ac:dyDescent="0.2">
      <c r="A14" s="19"/>
    </row>
    <row r="15" spans="1:15" x14ac:dyDescent="0.2">
      <c r="A15" s="19"/>
      <c r="C15" s="9"/>
    </row>
    <row r="16" spans="1:15" x14ac:dyDescent="0.2">
      <c r="A16" s="19"/>
    </row>
    <row r="17" spans="1:14" x14ac:dyDescent="0.2">
      <c r="A17" s="19"/>
    </row>
    <row r="18" spans="1:14" x14ac:dyDescent="0.2">
      <c r="A18" s="19"/>
    </row>
    <row r="19" spans="1:14" x14ac:dyDescent="0.2">
      <c r="A19" s="19"/>
    </row>
    <row r="20" spans="1:14" x14ac:dyDescent="0.2">
      <c r="A20" s="19"/>
    </row>
    <row r="21" spans="1:14" x14ac:dyDescent="0.2">
      <c r="A21" s="19"/>
    </row>
    <row r="22" spans="1:14" x14ac:dyDescent="0.2">
      <c r="A22" s="19"/>
    </row>
    <row r="24" spans="1:14" x14ac:dyDescent="0.2">
      <c r="A24" s="19" t="s">
        <v>10</v>
      </c>
      <c r="B24">
        <v>0.8</v>
      </c>
      <c r="E24">
        <v>476</v>
      </c>
      <c r="G24">
        <v>40</v>
      </c>
      <c r="J24">
        <v>55.7</v>
      </c>
      <c r="L24">
        <v>40.700000000000003</v>
      </c>
      <c r="N24">
        <v>1486</v>
      </c>
    </row>
    <row r="25" spans="1:14" x14ac:dyDescent="0.2">
      <c r="A25" s="19"/>
    </row>
    <row r="26" spans="1:14" x14ac:dyDescent="0.2">
      <c r="A26" s="19"/>
    </row>
    <row r="27" spans="1:14" x14ac:dyDescent="0.2">
      <c r="A27" s="19"/>
    </row>
    <row r="28" spans="1:14" x14ac:dyDescent="0.2">
      <c r="A28" s="19"/>
    </row>
    <row r="29" spans="1:14" x14ac:dyDescent="0.2">
      <c r="A29" s="19"/>
    </row>
    <row r="30" spans="1:14" x14ac:dyDescent="0.2">
      <c r="A30" s="19"/>
    </row>
    <row r="31" spans="1:14" x14ac:dyDescent="0.2">
      <c r="A31" s="19"/>
    </row>
    <row r="32" spans="1:14" x14ac:dyDescent="0.2">
      <c r="A32" s="19"/>
    </row>
    <row r="33" spans="1:1" x14ac:dyDescent="0.2">
      <c r="A33" s="19"/>
    </row>
  </sheetData>
  <mergeCells count="3">
    <mergeCell ref="A1:A10"/>
    <mergeCell ref="A13:A22"/>
    <mergeCell ref="A24:A33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RowColHeaders="0" zoomScaleNormal="100" workbookViewId="0">
      <selection activeCell="E3" sqref="E3"/>
    </sheetView>
  </sheetViews>
  <sheetFormatPr baseColWidth="10" defaultColWidth="35.6640625" defaultRowHeight="15" customHeight="1" x14ac:dyDescent="0.2"/>
  <sheetData>
    <row r="1" spans="1:6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 s="20" t="s">
        <v>8</v>
      </c>
      <c r="B2" s="1" t="s">
        <v>2</v>
      </c>
      <c r="C2">
        <v>0.64</v>
      </c>
      <c r="D2" s="9">
        <v>3.7230513172814499E-2</v>
      </c>
      <c r="E2" s="12">
        <f t="shared" ref="E2:E7" si="0">D2/C2</f>
        <v>5.8172676832522655E-2</v>
      </c>
      <c r="F2" s="12">
        <f t="shared" ref="F2:F7" si="1">0.2*D2</f>
        <v>7.4461026345629001E-3</v>
      </c>
    </row>
    <row r="3" spans="1:6" x14ac:dyDescent="0.2">
      <c r="A3" s="20"/>
      <c r="B3" s="1" t="s">
        <v>22</v>
      </c>
      <c r="C3" s="9">
        <v>430.777777777778</v>
      </c>
      <c r="D3" s="13">
        <v>22.1459803224975</v>
      </c>
      <c r="E3" s="12">
        <f t="shared" si="0"/>
        <v>5.1409291437316845E-2</v>
      </c>
      <c r="F3" s="12">
        <f t="shared" si="1"/>
        <v>4.4291960644995001</v>
      </c>
    </row>
    <row r="4" spans="1:6" x14ac:dyDescent="0.2">
      <c r="A4" s="20"/>
      <c r="B4" s="1" t="s">
        <v>16</v>
      </c>
      <c r="C4" s="9">
        <v>26.744444444444401</v>
      </c>
      <c r="D4" s="9">
        <v>2.0499999999999998</v>
      </c>
      <c r="E4" s="12">
        <f t="shared" si="0"/>
        <v>7.6651433319484957E-2</v>
      </c>
      <c r="F4" s="12">
        <f t="shared" si="1"/>
        <v>0.41</v>
      </c>
    </row>
    <row r="5" spans="1:6" x14ac:dyDescent="0.2">
      <c r="A5" s="20"/>
      <c r="B5" s="1" t="s">
        <v>12</v>
      </c>
      <c r="C5" s="9">
        <v>36.877777777777801</v>
      </c>
      <c r="D5" s="9">
        <v>1.52870678825092</v>
      </c>
      <c r="E5" s="12">
        <f t="shared" si="0"/>
        <v>4.1453332613010763E-2</v>
      </c>
      <c r="F5" s="12">
        <f t="shared" si="1"/>
        <v>0.30574135765018401</v>
      </c>
    </row>
    <row r="6" spans="1:6" x14ac:dyDescent="0.2">
      <c r="A6" s="20"/>
      <c r="B6" s="1" t="s">
        <v>6</v>
      </c>
      <c r="C6" s="9">
        <v>21.577777777777801</v>
      </c>
      <c r="D6" s="9">
        <v>1.4652455236049799</v>
      </c>
      <c r="E6" s="12">
        <f t="shared" si="0"/>
        <v>6.7905302329787878E-2</v>
      </c>
      <c r="F6" s="12">
        <f t="shared" si="1"/>
        <v>0.29304910472099599</v>
      </c>
    </row>
    <row r="7" spans="1:6" x14ac:dyDescent="0.2">
      <c r="A7" s="20"/>
      <c r="B7" s="1" t="s">
        <v>14</v>
      </c>
      <c r="C7" s="8">
        <v>1607.2222222222199</v>
      </c>
      <c r="D7" s="9">
        <v>50.62</v>
      </c>
      <c r="E7" s="12">
        <f t="shared" si="0"/>
        <v>3.1495333563774673E-2</v>
      </c>
      <c r="F7" s="12">
        <f t="shared" si="1"/>
        <v>10.124000000000001</v>
      </c>
    </row>
    <row r="8" spans="1:6" x14ac:dyDescent="0.2">
      <c r="A8" s="20" t="s">
        <v>9</v>
      </c>
      <c r="B8" s="1" t="s">
        <v>2</v>
      </c>
      <c r="E8" s="8"/>
    </row>
    <row r="9" spans="1:6" x14ac:dyDescent="0.2">
      <c r="A9" s="20"/>
      <c r="B9" s="1" t="s">
        <v>22</v>
      </c>
    </row>
    <row r="10" spans="1:6" x14ac:dyDescent="0.2">
      <c r="A10" s="20"/>
      <c r="B10" s="1" t="s">
        <v>16</v>
      </c>
    </row>
    <row r="11" spans="1:6" x14ac:dyDescent="0.2">
      <c r="A11" s="20"/>
      <c r="B11" s="1" t="s">
        <v>12</v>
      </c>
    </row>
    <row r="12" spans="1:6" x14ac:dyDescent="0.2">
      <c r="A12" s="20"/>
      <c r="B12" s="1" t="s">
        <v>6</v>
      </c>
    </row>
    <row r="13" spans="1:6" x14ac:dyDescent="0.2">
      <c r="A13" s="20"/>
      <c r="B13" s="1" t="s">
        <v>14</v>
      </c>
    </row>
    <row r="14" spans="1:6" x14ac:dyDescent="0.2">
      <c r="A14" s="20" t="s">
        <v>10</v>
      </c>
      <c r="B14" s="1" t="s">
        <v>2</v>
      </c>
    </row>
    <row r="15" spans="1:6" x14ac:dyDescent="0.2">
      <c r="A15" s="20"/>
      <c r="B15" s="1" t="s">
        <v>22</v>
      </c>
    </row>
    <row r="16" spans="1:6" x14ac:dyDescent="0.2">
      <c r="A16" s="20"/>
      <c r="B16" s="1" t="s">
        <v>16</v>
      </c>
    </row>
    <row r="17" spans="1:2" x14ac:dyDescent="0.2">
      <c r="A17" s="20"/>
      <c r="B17" s="1" t="s">
        <v>12</v>
      </c>
    </row>
    <row r="18" spans="1:2" x14ac:dyDescent="0.2">
      <c r="A18" s="20"/>
      <c r="B18" s="1" t="s">
        <v>6</v>
      </c>
    </row>
    <row r="19" spans="1:2" x14ac:dyDescent="0.2">
      <c r="A19" s="20"/>
      <c r="B19" s="1" t="s">
        <v>14</v>
      </c>
    </row>
  </sheetData>
  <mergeCells count="3">
    <mergeCell ref="A2:A7"/>
    <mergeCell ref="A8:A13"/>
    <mergeCell ref="A14:A19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3"/>
  <sheetViews>
    <sheetView showGridLines="0" showRowColHeaders="0" tabSelected="1" zoomScale="50" zoomScaleNormal="50" workbookViewId="0">
      <selection activeCell="A14" sqref="A14:B22"/>
    </sheetView>
  </sheetViews>
  <sheetFormatPr baseColWidth="10" defaultColWidth="39.83203125" defaultRowHeight="15" customHeight="1" x14ac:dyDescent="0.2"/>
  <cols>
    <col min="2" max="2" width="32.83203125" customWidth="1"/>
    <col min="4" max="4" width="63.5" customWidth="1"/>
    <col min="5" max="5" width="76.6640625" customWidth="1"/>
    <col min="6" max="6" width="56.5" customWidth="1"/>
    <col min="7" max="7" width="52.6640625" customWidth="1"/>
    <col min="8" max="8" width="60" customWidth="1"/>
    <col min="9" max="15" width="13" hidden="1" customWidth="1"/>
  </cols>
  <sheetData>
    <row r="1" spans="1:15" ht="46.5" customHeight="1" x14ac:dyDescent="0.55000000000000004">
      <c r="C1" s="14" t="s">
        <v>2</v>
      </c>
      <c r="D1" s="15" t="s">
        <v>23</v>
      </c>
      <c r="E1" s="16" t="s">
        <v>11</v>
      </c>
      <c r="F1" s="16" t="s">
        <v>24</v>
      </c>
      <c r="G1" s="16" t="s">
        <v>25</v>
      </c>
      <c r="H1" s="16" t="s">
        <v>14</v>
      </c>
      <c r="I1" t="s">
        <v>26</v>
      </c>
      <c r="J1" t="s">
        <v>2</v>
      </c>
      <c r="K1" t="s">
        <v>27</v>
      </c>
      <c r="L1" t="s">
        <v>28</v>
      </c>
      <c r="M1" t="s">
        <v>24</v>
      </c>
      <c r="N1" t="s">
        <v>29</v>
      </c>
      <c r="O1" t="s">
        <v>30</v>
      </c>
    </row>
    <row r="2" spans="1:15" ht="46.5" customHeight="1" x14ac:dyDescent="0.55000000000000004">
      <c r="A2" s="16" t="s">
        <v>31</v>
      </c>
      <c r="B2" s="17" t="s">
        <v>8</v>
      </c>
      <c r="C2" s="24">
        <f t="array" ref="C2">IFERROR(
  INDEX('Daily Data Entry'!C2:C109,
    MATCH(1,
      ('Daily Data Entry'!$A$2:$A$109=B2) *
      ('Daily Data Entry'!$B$2:$B$109=B3),
    0)
  ),
"")</f>
        <v>0.61</v>
      </c>
      <c r="D2" s="24">
        <f t="array" ref="D2">IFERROR(INDEX('Daily Data Entry'!D2:D109, MATCH(1, ('Daily Data Entry'!$A$2:$A$109=B2)*('Daily Data Entry'!$B$2:$B$109=B3), 0)), "")</f>
        <v>420</v>
      </c>
      <c r="E2" s="24">
        <f t="array" ref="E2">IFERROR(INDEX('Daily Data Entry'!E2:E109, MATCH(1, ('Daily Data Entry'!$A$2:$A$109=B2)*('Daily Data Entry'!$B$2:$B$109=B3), 0)), "")</f>
        <v>26</v>
      </c>
      <c r="F2" s="24">
        <f t="array" ref="F2">IFERROR(INDEX('Daily Data Entry'!F2:F109, MATCH(1, ('Daily Data Entry'!$A$2:$A$109=B2)*('Daily Data Entry'!$B$2:$B$109=B3), 0)), "")</f>
        <v>34.9</v>
      </c>
      <c r="G2" s="24">
        <f t="array" ref="G2">IFERROR(INDEX('Daily Data Entry'!G2:G109, MATCH(1, ('Daily Data Entry'!$A$2:$A$109=B2)*('Daily Data Entry'!$B$2:$B$109=B3), 0)), "")</f>
        <v>18.8</v>
      </c>
      <c r="H2" s="24">
        <f t="array" ref="H2">IFERROR(INDEX('Daily Data Entry'!H2:H109, MATCH(1, ('Daily Data Entry'!$A$2:$A$109=B2)*('Daily Data Entry'!$B$2:$B$109=B3), 0)), "")</f>
        <v>1540</v>
      </c>
      <c r="J2">
        <f>IFERROR(INDEX('Baseline &amp; Fatigue Flags (2)'!$C$2:$C$19, MATCH($B$2,'Baseline &amp; Fatigue Flags (2)'!$A$2:$A$19,0)+0),"")</f>
        <v>0.64</v>
      </c>
      <c r="K2" s="9">
        <f>IFERROR(INDEX('Baseline &amp; Fatigue Flags (2)'!$C$2:$C$19, MATCH($B$2,'Baseline &amp; Fatigue Flags (2)'!$A$2:$A$19,0)+1),"")</f>
        <v>430.777777777778</v>
      </c>
      <c r="L2" s="9">
        <f>IFERROR(INDEX('Baseline &amp; Fatigue Flags (2)'!$C$2:$C$19, MATCH($B$2,'Baseline &amp; Fatigue Flags (2)'!$A$2:$A$19,0)+2),"")</f>
        <v>26.744444444444401</v>
      </c>
      <c r="M2" s="9">
        <f>IFERROR(INDEX('Baseline &amp; Fatigue Flags (2)'!$C$2:$C$19, MATCH($B$2,'Baseline &amp; Fatigue Flags (2)'!$A$2:$A$19,0)+3),"")</f>
        <v>36.877777777777801</v>
      </c>
      <c r="N2" s="9">
        <f>IFERROR(INDEX('Baseline &amp; Fatigue Flags (2)'!$C$2:$C$19, MATCH($B$2,'Baseline &amp; Fatigue Flags (2)'!$A$2:$A$19,0)+4),"")</f>
        <v>21.577777777777801</v>
      </c>
      <c r="O2" s="8">
        <f>IFERROR(INDEX('Baseline &amp; Fatigue Flags (2)'!$C$2:$C$19, MATCH($B$2,'Baseline &amp; Fatigue Flags (2)'!$A$2:$A$19,0)+5),"")</f>
        <v>1607.2222222222199</v>
      </c>
    </row>
    <row r="3" spans="1:15" ht="46.5" customHeight="1" x14ac:dyDescent="0.55000000000000004">
      <c r="A3" s="16" t="s">
        <v>32</v>
      </c>
      <c r="B3" s="18">
        <v>45809</v>
      </c>
      <c r="C3" s="24"/>
      <c r="D3" s="24"/>
      <c r="E3" s="24"/>
      <c r="F3" s="24"/>
      <c r="G3" s="24"/>
      <c r="H3" s="24"/>
      <c r="J3" s="12">
        <f>IFERROR(INDEX('Baseline &amp; Fatigue Flags (2)'!$E$2:$E$19, MATCH($B$2,'Baseline &amp; Fatigue Flags (2)'!$A$2:$A$19,0)+0),"")</f>
        <v>5.8172676832522655E-2</v>
      </c>
      <c r="K3" s="12">
        <f>IFERROR(INDEX('Baseline &amp; Fatigue Flags (2)'!$E$2:$E$19, MATCH($B$2,'Baseline &amp; Fatigue Flags (2)'!$A$2:$A$19,0)+1),"")</f>
        <v>5.1409291437316845E-2</v>
      </c>
      <c r="L3" s="12">
        <f>IFERROR(INDEX('Baseline &amp; Fatigue Flags (2)'!$E$2:$E$19, MATCH($B$2,'Baseline &amp; Fatigue Flags (2)'!$A$2:$A$19,0)+2),"")</f>
        <v>7.6651433319484957E-2</v>
      </c>
      <c r="M3" s="12">
        <f>IFERROR(INDEX('Baseline &amp; Fatigue Flags (2)'!$E$2:$E$19, MATCH($B$2,'Baseline &amp; Fatigue Flags (2)'!$A$2:$A$19,0)+3),"")</f>
        <v>4.1453332613010763E-2</v>
      </c>
      <c r="N3" s="12">
        <f>IFERROR(INDEX('Baseline &amp; Fatigue Flags (2)'!$E$2:$E$19, MATCH($B$2,'Baseline &amp; Fatigue Flags (2)'!$A$2:$A$19,0)+4),"")</f>
        <v>6.7905302329787878E-2</v>
      </c>
      <c r="O3" s="12">
        <f>IFERROR(INDEX('Baseline &amp; Fatigue Flags (2)'!$E$2:$E$19, MATCH($B$2,'Baseline &amp; Fatigue Flags (2)'!$A$2:$A$19,0)+5),"")</f>
        <v>3.1495333563774673E-2</v>
      </c>
    </row>
    <row r="4" spans="1:15" x14ac:dyDescent="0.2">
      <c r="C4" s="24"/>
      <c r="D4" s="24"/>
      <c r="E4" s="24"/>
      <c r="F4" s="24"/>
      <c r="G4" s="24"/>
      <c r="H4" s="24"/>
      <c r="J4" s="9">
        <f>IFERROR(INDEX('Baseline &amp; Fatigue Flags (2)'!$D$2:$D$19, MATCH($B$2,'Baseline &amp; Fatigue Flags (2)'!$A$2:$A$19,0)+0),"")</f>
        <v>3.7230513172814499E-2</v>
      </c>
      <c r="K4" s="9">
        <f>IFERROR(INDEX('Baseline &amp; Fatigue Flags (2)'!$D$2:$D$19, MATCH($B$2,'Baseline &amp; Fatigue Flags (2)'!$A$2:$A$19,0)+1),"")</f>
        <v>22.1459803224975</v>
      </c>
      <c r="L4" s="9">
        <f>IFERROR(INDEX('Baseline &amp; Fatigue Flags (2)'!$D$2:$D$19, MATCH($B$2,'Baseline &amp; Fatigue Flags (2)'!$A$2:$A$19,0)+2),"")</f>
        <v>2.0499999999999998</v>
      </c>
      <c r="M4" s="9">
        <f>IFERROR(INDEX('Baseline &amp; Fatigue Flags (2)'!$D$2:$D$19, MATCH($B$2,'Baseline &amp; Fatigue Flags (2)'!$A$2:$A$19,0)+3),"")</f>
        <v>1.52870678825092</v>
      </c>
      <c r="N4" s="9">
        <f>IFERROR(INDEX('Baseline &amp; Fatigue Flags (2)'!$D$2:$D$19, MATCH($B$2,'Baseline &amp; Fatigue Flags (2)'!$A$2:$A$19,0)+4),"")</f>
        <v>1.4652455236049799</v>
      </c>
      <c r="O4" s="9">
        <f>IFERROR(INDEX('Baseline &amp; Fatigue Flags (2)'!$D$2:$D$19, MATCH($B$2,'Baseline &amp; Fatigue Flags (2)'!$A$2:$A$19,0)+5),"")</f>
        <v>50.62</v>
      </c>
    </row>
    <row r="5" spans="1:15" x14ac:dyDescent="0.2">
      <c r="C5" s="24"/>
      <c r="D5" s="24"/>
      <c r="E5" s="24"/>
      <c r="F5" s="24"/>
      <c r="G5" s="24"/>
      <c r="H5" s="24"/>
      <c r="J5">
        <f t="shared" ref="J5:O5" si="0">IFERROR(C$2-J$2,"")</f>
        <v>-3.0000000000000027E-2</v>
      </c>
      <c r="K5">
        <f t="shared" si="0"/>
        <v>-10.777777777777999</v>
      </c>
      <c r="L5">
        <f t="shared" si="0"/>
        <v>-0.74444444444440094</v>
      </c>
      <c r="M5">
        <f t="shared" si="0"/>
        <v>-1.9777777777778027</v>
      </c>
      <c r="N5">
        <f t="shared" si="0"/>
        <v>-2.7777777777777999</v>
      </c>
      <c r="O5">
        <f t="shared" si="0"/>
        <v>-67.222222222219898</v>
      </c>
    </row>
    <row r="6" spans="1:15" x14ac:dyDescent="0.2">
      <c r="C6" s="24"/>
      <c r="D6" s="24"/>
      <c r="E6" s="24"/>
      <c r="F6" s="24"/>
      <c r="G6" s="24"/>
      <c r="H6" s="24"/>
      <c r="J6">
        <f>IFERROR((C$2-J$2)/J$4,"")</f>
        <v>-0.8057906658645213</v>
      </c>
      <c r="K6">
        <f>IFERROR(((D$2-K$2)/K$4)*-1,"")</f>
        <v>0.48666970803858012</v>
      </c>
      <c r="L6">
        <f>IFERROR((E$2-L$2)/L$4,"")</f>
        <v>-0.36314363143629319</v>
      </c>
      <c r="M6">
        <f>IFERROR((F$2-M$2)/M$4,"")</f>
        <v>-1.2937587462672879</v>
      </c>
      <c r="N6">
        <f>IFERROR((G$2-N$2)/N$4,"")</f>
        <v>-1.89577632760383</v>
      </c>
      <c r="O6">
        <f>IFERROR((H$2-O$2)/O$4,"")</f>
        <v>-1.3279775231572482</v>
      </c>
    </row>
    <row r="7" spans="1:15" ht="47" customHeight="1" x14ac:dyDescent="0.2">
      <c r="A7" s="23" t="s">
        <v>33</v>
      </c>
      <c r="B7" s="22"/>
      <c r="C7" s="25" t="str">
        <f t="shared" ref="C7:H7" si="1">IFERROR(IF(AND(J$2&lt;&gt;0,ABS(J$5/J$2)&gt;J$3),IF(J$5&gt;0,"MEANINGFUL ↑","MEANINGFUL ↓"),"NORMAL"),"")</f>
        <v>NORMAL</v>
      </c>
      <c r="D7" s="25" t="str">
        <f t="shared" si="1"/>
        <v>NORMAL</v>
      </c>
      <c r="E7" s="25" t="str">
        <f t="shared" si="1"/>
        <v>NORMAL</v>
      </c>
      <c r="F7" s="25" t="str">
        <f t="shared" si="1"/>
        <v>MEANINGFUL ↓</v>
      </c>
      <c r="G7" s="25" t="str">
        <f t="shared" si="1"/>
        <v>MEANINGFUL ↓</v>
      </c>
      <c r="H7" s="25" t="str">
        <f t="shared" si="1"/>
        <v>MEANINGFUL ↓</v>
      </c>
    </row>
    <row r="8" spans="1:15" x14ac:dyDescent="0.2">
      <c r="A8" s="23"/>
      <c r="B8" s="22"/>
      <c r="C8" s="25"/>
      <c r="D8" s="25"/>
      <c r="E8" s="25"/>
      <c r="F8" s="25"/>
      <c r="G8" s="25"/>
      <c r="H8" s="25"/>
    </row>
    <row r="9" spans="1:15" x14ac:dyDescent="0.2">
      <c r="A9" s="23"/>
      <c r="B9" s="22"/>
      <c r="C9" s="25"/>
      <c r="D9" s="25"/>
      <c r="E9" s="25"/>
      <c r="F9" s="25"/>
      <c r="G9" s="25"/>
      <c r="H9" s="25"/>
    </row>
    <row r="10" spans="1:15" x14ac:dyDescent="0.2">
      <c r="A10" s="23"/>
      <c r="B10" s="22"/>
      <c r="C10" s="25"/>
      <c r="D10" s="25"/>
      <c r="E10" s="25"/>
      <c r="F10" s="25"/>
      <c r="G10" s="25"/>
      <c r="H10" s="25"/>
    </row>
    <row r="11" spans="1:15" x14ac:dyDescent="0.2">
      <c r="A11" s="23"/>
      <c r="B11" s="22"/>
      <c r="C11" s="25"/>
      <c r="D11" s="25"/>
      <c r="E11" s="25"/>
      <c r="F11" s="25"/>
      <c r="G11" s="25"/>
      <c r="H11" s="25"/>
    </row>
    <row r="12" spans="1:15" x14ac:dyDescent="0.2">
      <c r="A12" s="23"/>
      <c r="B12" s="22"/>
      <c r="C12" s="25"/>
      <c r="D12" s="25"/>
      <c r="E12" s="25"/>
      <c r="F12" s="25"/>
      <c r="G12" s="25"/>
      <c r="H12" s="25"/>
    </row>
    <row r="13" spans="1:15" x14ac:dyDescent="0.2">
      <c r="A13" s="23"/>
      <c r="B13" s="22"/>
      <c r="C13" s="25"/>
      <c r="D13" s="25"/>
      <c r="E13" s="25"/>
      <c r="F13" s="25"/>
      <c r="G13" s="25"/>
      <c r="H13" s="25"/>
    </row>
    <row r="14" spans="1:15" x14ac:dyDescent="0.2">
      <c r="A14" s="22" t="s">
        <v>34</v>
      </c>
      <c r="B14" s="22"/>
      <c r="C14" s="21">
        <f t="shared" ref="C14:H14" si="2">IFERROR(J$6,"")</f>
        <v>-0.8057906658645213</v>
      </c>
      <c r="D14" s="21">
        <f t="shared" si="2"/>
        <v>0.48666970803858012</v>
      </c>
      <c r="E14" s="21">
        <f t="shared" si="2"/>
        <v>-0.36314363143629319</v>
      </c>
      <c r="F14" s="21">
        <f t="shared" si="2"/>
        <v>-1.2937587462672879</v>
      </c>
      <c r="G14" s="21">
        <f t="shared" si="2"/>
        <v>-1.89577632760383</v>
      </c>
      <c r="H14" s="21">
        <f t="shared" si="2"/>
        <v>-1.3279775231572482</v>
      </c>
    </row>
    <row r="15" spans="1:15" x14ac:dyDescent="0.2">
      <c r="A15" s="22"/>
      <c r="B15" s="22"/>
      <c r="C15" s="21"/>
      <c r="D15" s="21"/>
      <c r="E15" s="21"/>
      <c r="F15" s="21"/>
      <c r="G15" s="21"/>
      <c r="H15" s="21"/>
    </row>
    <row r="16" spans="1:15" x14ac:dyDescent="0.2">
      <c r="A16" s="22"/>
      <c r="B16" s="22"/>
      <c r="C16" s="21"/>
      <c r="D16" s="21"/>
      <c r="E16" s="21"/>
      <c r="F16" s="21"/>
      <c r="G16" s="21"/>
      <c r="H16" s="21"/>
    </row>
    <row r="17" spans="1:8" x14ac:dyDescent="0.2">
      <c r="A17" s="22"/>
      <c r="B17" s="22"/>
      <c r="C17" s="21"/>
      <c r="D17" s="21"/>
      <c r="E17" s="21"/>
      <c r="F17" s="21"/>
      <c r="G17" s="21"/>
      <c r="H17" s="21"/>
    </row>
    <row r="18" spans="1:8" x14ac:dyDescent="0.2">
      <c r="A18" s="22"/>
      <c r="B18" s="22"/>
      <c r="C18" s="21"/>
      <c r="D18" s="21"/>
      <c r="E18" s="21"/>
      <c r="F18" s="21"/>
      <c r="G18" s="21"/>
      <c r="H18" s="21"/>
    </row>
    <row r="19" spans="1:8" x14ac:dyDescent="0.2">
      <c r="A19" s="22"/>
      <c r="B19" s="22"/>
      <c r="C19" s="21"/>
      <c r="D19" s="21"/>
      <c r="E19" s="21"/>
      <c r="F19" s="21"/>
      <c r="G19" s="21"/>
      <c r="H19" s="21"/>
    </row>
    <row r="20" spans="1:8" x14ac:dyDescent="0.2">
      <c r="A20" s="22"/>
      <c r="B20" s="22"/>
      <c r="C20" s="21"/>
      <c r="D20" s="21"/>
      <c r="E20" s="21"/>
      <c r="F20" s="21"/>
      <c r="G20" s="21"/>
      <c r="H20" s="21"/>
    </row>
    <row r="21" spans="1:8" x14ac:dyDescent="0.2">
      <c r="A21" s="22"/>
      <c r="B21" s="22"/>
      <c r="C21" s="21"/>
      <c r="D21" s="21"/>
      <c r="E21" s="21"/>
      <c r="F21" s="21"/>
      <c r="G21" s="21"/>
      <c r="H21" s="21"/>
    </row>
    <row r="22" spans="1:8" x14ac:dyDescent="0.2">
      <c r="A22" s="22"/>
      <c r="B22" s="22"/>
      <c r="C22" s="21"/>
      <c r="D22" s="21"/>
      <c r="E22" s="21"/>
      <c r="F22" s="21"/>
      <c r="G22" s="21"/>
      <c r="H22" s="21"/>
    </row>
    <row r="23" spans="1:8" x14ac:dyDescent="0.2">
      <c r="A23" s="22" t="s">
        <v>15</v>
      </c>
      <c r="B23" s="22"/>
      <c r="C23" s="21">
        <f>IFERROR(AVERAGE(J6:O6),"")</f>
        <v>-0.86662953104843332</v>
      </c>
      <c r="D23" s="21"/>
      <c r="E23" s="21"/>
      <c r="F23" s="21"/>
      <c r="G23" s="21"/>
      <c r="H23" s="21"/>
    </row>
    <row r="24" spans="1:8" x14ac:dyDescent="0.2">
      <c r="A24" s="22"/>
      <c r="B24" s="22"/>
      <c r="C24" s="21"/>
      <c r="D24" s="21"/>
      <c r="E24" s="21"/>
      <c r="F24" s="21"/>
      <c r="G24" s="21"/>
      <c r="H24" s="21"/>
    </row>
    <row r="25" spans="1:8" x14ac:dyDescent="0.2">
      <c r="A25" s="22"/>
      <c r="B25" s="22"/>
      <c r="C25" s="21"/>
      <c r="D25" s="21"/>
      <c r="E25" s="21"/>
      <c r="F25" s="21"/>
      <c r="G25" s="21"/>
      <c r="H25" s="21"/>
    </row>
    <row r="26" spans="1:8" x14ac:dyDescent="0.2">
      <c r="A26" s="22"/>
      <c r="B26" s="22"/>
      <c r="C26" s="21"/>
      <c r="D26" s="21"/>
      <c r="E26" s="21"/>
      <c r="F26" s="21"/>
      <c r="G26" s="21"/>
      <c r="H26" s="21"/>
    </row>
    <row r="27" spans="1:8" x14ac:dyDescent="0.2">
      <c r="A27" s="22"/>
      <c r="B27" s="22"/>
      <c r="C27" s="21"/>
      <c r="D27" s="21"/>
      <c r="E27" s="21"/>
      <c r="F27" s="21"/>
      <c r="G27" s="21"/>
      <c r="H27" s="21"/>
    </row>
    <row r="28" spans="1:8" x14ac:dyDescent="0.2">
      <c r="A28" s="22"/>
      <c r="B28" s="22"/>
      <c r="C28" s="21"/>
      <c r="D28" s="21"/>
      <c r="E28" s="21"/>
      <c r="F28" s="21"/>
      <c r="G28" s="21"/>
      <c r="H28" s="21"/>
    </row>
    <row r="29" spans="1:8" x14ac:dyDescent="0.2">
      <c r="A29" s="22"/>
      <c r="B29" s="22"/>
      <c r="C29" s="21"/>
      <c r="D29" s="21"/>
      <c r="E29" s="21"/>
      <c r="F29" s="21"/>
      <c r="G29" s="21"/>
      <c r="H29" s="21"/>
    </row>
    <row r="30" spans="1:8" x14ac:dyDescent="0.2">
      <c r="A30" s="22"/>
      <c r="B30" s="22"/>
      <c r="C30" s="21"/>
      <c r="D30" s="21"/>
      <c r="E30" s="21"/>
      <c r="F30" s="21"/>
      <c r="G30" s="21"/>
      <c r="H30" s="21"/>
    </row>
    <row r="31" spans="1:8" x14ac:dyDescent="0.2">
      <c r="A31" s="22"/>
      <c r="B31" s="22"/>
      <c r="C31" s="21"/>
      <c r="D31" s="21"/>
      <c r="E31" s="21"/>
      <c r="F31" s="21"/>
      <c r="G31" s="21"/>
      <c r="H31" s="21"/>
    </row>
    <row r="32" spans="1:8" x14ac:dyDescent="0.2">
      <c r="C32" s="21"/>
      <c r="D32" s="21"/>
      <c r="E32" s="21"/>
      <c r="F32" s="21"/>
      <c r="G32" s="21"/>
      <c r="H32" s="21"/>
    </row>
    <row r="33" spans="3:8" x14ac:dyDescent="0.2">
      <c r="C33" s="21"/>
      <c r="D33" s="21"/>
      <c r="E33" s="21"/>
      <c r="F33" s="21"/>
      <c r="G33" s="21"/>
      <c r="H33" s="21"/>
    </row>
  </sheetData>
  <mergeCells count="22">
    <mergeCell ref="H2:H6"/>
    <mergeCell ref="C7:C13"/>
    <mergeCell ref="D7:D13"/>
    <mergeCell ref="E7:E13"/>
    <mergeCell ref="F7:F13"/>
    <mergeCell ref="G7:G13"/>
    <mergeCell ref="H7:H13"/>
    <mergeCell ref="C2:C6"/>
    <mergeCell ref="D2:D6"/>
    <mergeCell ref="E2:E6"/>
    <mergeCell ref="F2:F6"/>
    <mergeCell ref="G2:G6"/>
    <mergeCell ref="G14:G22"/>
    <mergeCell ref="H14:H22"/>
    <mergeCell ref="A23:B31"/>
    <mergeCell ref="C23:H33"/>
    <mergeCell ref="A7:B13"/>
    <mergeCell ref="A14:B22"/>
    <mergeCell ref="C14:C22"/>
    <mergeCell ref="D14:D22"/>
    <mergeCell ref="E14:E22"/>
    <mergeCell ref="F14:F22"/>
  </mergeCells>
  <conditionalFormatting sqref="C7:H7">
    <cfRule type="expression" dxfId="8" priority="7">
      <formula>ISNUMBER(SEARCH("NORMAL",C7))</formula>
    </cfRule>
    <cfRule type="expression" dxfId="7" priority="8">
      <formula>ISNUMBER(SEARCH("MEANINGFUL ↑",C7))</formula>
    </cfRule>
    <cfRule type="expression" dxfId="6" priority="9">
      <formula>ISNUMBER(SEARCH("MEANINGFUL ↓",C7))</formula>
    </cfRule>
  </conditionalFormatting>
  <conditionalFormatting sqref="C14:H22">
    <cfRule type="cellIs" dxfId="5" priority="2" operator="greaterThan">
      <formula>-1</formula>
    </cfRule>
    <cfRule type="cellIs" dxfId="4" priority="3" operator="between">
      <formula>-1</formula>
      <formula>-1.5</formula>
    </cfRule>
    <cfRule type="cellIs" dxfId="3" priority="4" operator="lessThan">
      <formula>-1.5</formula>
    </cfRule>
    <cfRule type="cellIs" dxfId="2" priority="5" operator="greaterThan">
      <formula>1</formula>
    </cfRule>
  </conditionalFormatting>
  <conditionalFormatting sqref="C14:H33">
    <cfRule type="cellIs" dxfId="1" priority="6" operator="lessThan">
      <formula>-1.5</formula>
    </cfRule>
  </conditionalFormatting>
  <conditionalFormatting sqref="C23:H33">
    <cfRule type="cellIs" dxfId="0" priority="10" operator="greaterThan">
      <formula>-2</formula>
    </cfRule>
  </conditionalFormatting>
  <dataValidations count="1">
    <dataValidation type="list" sqref="B2" xr:uid="{00000000-0002-0000-0500-000000000000}">
      <formula1>"Athlete 1,Athlete 2,Athlete 3"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1000000}">
          <x14:formula1>
            <xm:f>'Daily Data Entry'!$B$2:$B$31</xm:f>
          </x14:formula1>
          <x14:formula2>
            <xm:f>0</xm:f>
          </x14:formula2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Daily Data Entry</vt:lpstr>
      <vt:lpstr>Z SCORE </vt:lpstr>
      <vt:lpstr>Daily Change </vt:lpstr>
      <vt:lpstr>Raw</vt:lpstr>
      <vt:lpstr>Baseline &amp; Fatigue Flags (2)</vt:lpstr>
      <vt:lpstr>Dashboard </vt:lpstr>
      <vt:lpstr>'Dashboard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Carroll, Kya D</cp:lastModifiedBy>
  <dcterms:created xsi:type="dcterms:W3CDTF">2026-04-07T20:12:17Z</dcterms:created>
  <dcterms:modified xsi:type="dcterms:W3CDTF">2026-04-07T20:12:17Z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2025-05-26T15:32:47Z</dcterms:created>
  <dc:creator/>
  <dc:description/>
  <dc:language>en-US</dc:language>
  <cp:lastModifiedBy>Carroll, Kya D</cp:lastModifiedBy>
  <dcterms:modified xsi:type="dcterms:W3CDTF">2026-04-07T20:02:56Z</dcterms:modified>
  <cp:revision>0</cp:revision>
  <dc:subject/>
  <dc:title/>
</cp:coreProperties>
</file>